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0FECF7D8-1902-4A54-A0FE-29D5A565B0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2" i="2"/>
  <c r="D14" i="2"/>
  <c r="D15" i="2"/>
  <c r="D25" i="2"/>
  <c r="D26" i="2"/>
  <c r="D30" i="2"/>
  <c r="D37" i="2"/>
  <c r="D38" i="2"/>
  <c r="D39" i="2"/>
  <c r="D46" i="2"/>
  <c r="D47" i="2"/>
  <c r="D48" i="2"/>
  <c r="D54" i="2"/>
  <c r="D55" i="2"/>
  <c r="D62" i="2"/>
  <c r="D63" i="2"/>
  <c r="D64" i="2"/>
  <c r="D65" i="2"/>
  <c r="D66" i="2"/>
  <c r="D70" i="2"/>
  <c r="D71" i="2"/>
  <c r="D78" i="2"/>
  <c r="D79" i="2"/>
  <c r="D80" i="2"/>
  <c r="D89" i="2"/>
  <c r="D90" i="2"/>
  <c r="D94" i="2"/>
  <c r="D102" i="2"/>
  <c r="D103" i="2"/>
  <c r="D108" i="2"/>
  <c r="D109" i="2"/>
  <c r="D110" i="2"/>
  <c r="D111" i="2"/>
  <c r="D118" i="2"/>
  <c r="D119" i="2"/>
  <c r="D120" i="2"/>
  <c r="D121" i="2"/>
  <c r="D126" i="2"/>
  <c r="D127" i="2"/>
  <c r="D129" i="2"/>
  <c r="D130" i="2"/>
  <c r="D134" i="2"/>
  <c r="D135" i="2"/>
  <c r="D136" i="2"/>
  <c r="D142" i="2"/>
  <c r="D143" i="2"/>
  <c r="D144" i="2"/>
  <c r="D145" i="2"/>
  <c r="D146" i="2"/>
  <c r="D158" i="2"/>
  <c r="D162" i="2"/>
  <c r="D166" i="2"/>
  <c r="D167" i="2"/>
  <c r="D173" i="2"/>
  <c r="D174" i="2"/>
  <c r="D175" i="2"/>
  <c r="D182" i="2"/>
  <c r="D183" i="2"/>
  <c r="D184" i="2"/>
  <c r="D185" i="2"/>
  <c r="D189" i="2"/>
  <c r="D190" i="2"/>
  <c r="D191" i="2"/>
  <c r="D193" i="2"/>
  <c r="D194" i="2"/>
  <c r="D198" i="2"/>
  <c r="D199" i="2"/>
  <c r="D200" i="2"/>
  <c r="D206" i="2"/>
  <c r="D207" i="2"/>
  <c r="D208" i="2"/>
  <c r="D209" i="2"/>
  <c r="D210" i="2"/>
  <c r="D217" i="2"/>
  <c r="D218" i="2"/>
  <c r="D220" i="2"/>
  <c r="D221" i="2"/>
  <c r="D222" i="2"/>
  <c r="D230" i="2"/>
  <c r="D231" i="2"/>
  <c r="D234" i="2"/>
  <c r="D236" i="2"/>
  <c r="D238" i="2"/>
  <c r="D239" i="2"/>
  <c r="D240" i="2"/>
  <c r="D245" i="2"/>
  <c r="D246" i="2"/>
  <c r="D247" i="2"/>
  <c r="C6" i="2"/>
  <c r="C7" i="2"/>
  <c r="C14" i="2"/>
  <c r="C15" i="2"/>
  <c r="C17" i="2"/>
  <c r="C22" i="2"/>
  <c r="C23" i="2"/>
  <c r="C30" i="2"/>
  <c r="C31" i="2"/>
  <c r="C33" i="2"/>
  <c r="C38" i="2"/>
  <c r="C39" i="2"/>
  <c r="C41" i="2"/>
  <c r="C42" i="2"/>
  <c r="C43" i="2"/>
  <c r="C44" i="2"/>
  <c r="C46" i="2"/>
  <c r="C47" i="2"/>
  <c r="C52" i="2"/>
  <c r="C57" i="2"/>
  <c r="C62" i="2"/>
  <c r="C66" i="2"/>
  <c r="C67" i="2"/>
  <c r="C68" i="2"/>
  <c r="C70" i="2"/>
  <c r="C71" i="2"/>
  <c r="C78" i="2"/>
  <c r="C79" i="2"/>
  <c r="C86" i="2"/>
  <c r="C87" i="2"/>
  <c r="C89" i="2"/>
  <c r="C90" i="2"/>
  <c r="C93" i="2"/>
  <c r="C94" i="2"/>
  <c r="C95" i="2"/>
  <c r="C102" i="2"/>
  <c r="C103" i="2"/>
  <c r="C105" i="2"/>
  <c r="C110" i="2"/>
  <c r="C111" i="2"/>
  <c r="C113" i="2"/>
  <c r="C114" i="2"/>
  <c r="C126" i="2"/>
  <c r="C134" i="2"/>
  <c r="C135" i="2"/>
  <c r="C139" i="2"/>
  <c r="C142" i="2"/>
  <c r="C143" i="2"/>
  <c r="C145" i="2"/>
  <c r="C149" i="2"/>
  <c r="C150" i="2"/>
  <c r="C151" i="2"/>
  <c r="C158" i="2"/>
  <c r="C159" i="2"/>
  <c r="C161" i="2"/>
  <c r="C162" i="2"/>
  <c r="C163" i="2"/>
  <c r="C166" i="2"/>
  <c r="C167" i="2"/>
  <c r="C172" i="2"/>
  <c r="C174" i="2"/>
  <c r="C175" i="2"/>
  <c r="C185" i="2"/>
  <c r="C186" i="2"/>
  <c r="C187" i="2"/>
  <c r="C190" i="2"/>
  <c r="C196" i="2"/>
  <c r="C197" i="2"/>
  <c r="C198" i="2"/>
  <c r="C199" i="2"/>
  <c r="C206" i="2"/>
  <c r="C207" i="2"/>
  <c r="C209" i="2"/>
  <c r="C212" i="2"/>
  <c r="C214" i="2"/>
  <c r="C215" i="2"/>
  <c r="C217" i="2"/>
  <c r="C218" i="2"/>
  <c r="C222" i="2"/>
  <c r="C223" i="2"/>
  <c r="C230" i="2"/>
  <c r="C231" i="2"/>
  <c r="C233" i="2"/>
  <c r="C234" i="2"/>
  <c r="C238" i="2"/>
  <c r="C239" i="2"/>
  <c r="C241" i="2"/>
  <c r="C242" i="2"/>
  <c r="C243" i="2"/>
  <c r="C244" i="2"/>
  <c r="C245" i="2"/>
  <c r="B3" i="2"/>
  <c r="B6" i="2"/>
  <c r="B7" i="2"/>
  <c r="B16" i="2"/>
  <c r="B17" i="2"/>
  <c r="B18" i="2"/>
  <c r="B22" i="2"/>
  <c r="B25" i="2"/>
  <c r="B26" i="2"/>
  <c r="B27" i="2"/>
  <c r="B30" i="2"/>
  <c r="B31" i="2"/>
  <c r="B38" i="2"/>
  <c r="B39" i="2"/>
  <c r="B40" i="2"/>
  <c r="B46" i="2"/>
  <c r="B47" i="2"/>
  <c r="B48" i="2"/>
  <c r="B49" i="2"/>
  <c r="B52" i="2"/>
  <c r="B54" i="2"/>
  <c r="B55" i="2"/>
  <c r="B62" i="2"/>
  <c r="B63" i="2"/>
  <c r="B64" i="2"/>
  <c r="B65" i="2"/>
  <c r="B66" i="2"/>
  <c r="B70" i="2"/>
  <c r="B71" i="2"/>
  <c r="B72" i="2"/>
  <c r="B73" i="2"/>
  <c r="B74" i="2"/>
  <c r="B76" i="2"/>
  <c r="B86" i="2"/>
  <c r="B89" i="2"/>
  <c r="B90" i="2"/>
  <c r="B94" i="2"/>
  <c r="B95" i="2"/>
  <c r="B98" i="2"/>
  <c r="B100" i="2"/>
  <c r="B102" i="2"/>
  <c r="B103" i="2"/>
  <c r="B110" i="2"/>
  <c r="B111" i="2"/>
  <c r="B112" i="2"/>
  <c r="B113" i="2"/>
  <c r="B118" i="2"/>
  <c r="B119" i="2"/>
  <c r="B120" i="2"/>
  <c r="B121" i="2"/>
  <c r="B122" i="2"/>
  <c r="B126" i="2"/>
  <c r="B127" i="2"/>
  <c r="B134" i="2"/>
  <c r="B135" i="2"/>
  <c r="B136" i="2"/>
  <c r="B137" i="2"/>
  <c r="B144" i="2"/>
  <c r="B145" i="2"/>
  <c r="B146" i="2"/>
  <c r="B150" i="2"/>
  <c r="B158" i="2"/>
  <c r="B159" i="2"/>
  <c r="B162" i="2"/>
  <c r="B166" i="2"/>
  <c r="B167" i="2"/>
  <c r="B168" i="2"/>
  <c r="B174" i="2"/>
  <c r="B175" i="2"/>
  <c r="B182" i="2"/>
  <c r="B183" i="2"/>
  <c r="B184" i="2"/>
  <c r="B190" i="2"/>
  <c r="B191" i="2"/>
  <c r="B192" i="2"/>
  <c r="B193" i="2"/>
  <c r="B196" i="2"/>
  <c r="B198" i="2"/>
  <c r="B199" i="2"/>
  <c r="B200" i="2"/>
  <c r="B201" i="2"/>
  <c r="B206" i="2"/>
  <c r="B207" i="2"/>
  <c r="B214" i="2"/>
  <c r="B215" i="2"/>
  <c r="B216" i="2"/>
  <c r="B222" i="2"/>
  <c r="B223" i="2"/>
  <c r="B224" i="2"/>
  <c r="B225" i="2"/>
  <c r="B228" i="2"/>
  <c r="B230" i="2"/>
  <c r="B231" i="2"/>
  <c r="B232" i="2"/>
  <c r="B233" i="2"/>
  <c r="B238" i="2"/>
  <c r="B239" i="2"/>
  <c r="B246" i="2"/>
  <c r="B247" i="2"/>
  <c r="B248" i="2"/>
  <c r="A252" i="2"/>
  <c r="D252" i="2" s="1"/>
  <c r="A3" i="2"/>
  <c r="D3" i="2" s="1"/>
  <c r="A4" i="2"/>
  <c r="A5" i="2"/>
  <c r="C5" i="2" s="1"/>
  <c r="A6" i="2"/>
  <c r="A7" i="2"/>
  <c r="A8" i="2"/>
  <c r="C8" i="2" s="1"/>
  <c r="A9" i="2"/>
  <c r="C9" i="2" s="1"/>
  <c r="A10" i="2"/>
  <c r="C10" i="2" s="1"/>
  <c r="A11" i="2"/>
  <c r="D11" i="2" s="1"/>
  <c r="A12" i="2"/>
  <c r="A13" i="2"/>
  <c r="A14" i="2"/>
  <c r="B14" i="2" s="1"/>
  <c r="A15" i="2"/>
  <c r="B15" i="2" s="1"/>
  <c r="A16" i="2"/>
  <c r="C16" i="2" s="1"/>
  <c r="A17" i="2"/>
  <c r="D17" i="2" s="1"/>
  <c r="A18" i="2"/>
  <c r="C18" i="2" s="1"/>
  <c r="A19" i="2"/>
  <c r="A20" i="2"/>
  <c r="A21" i="2"/>
  <c r="B21" i="2" s="1"/>
  <c r="A22" i="2"/>
  <c r="D22" i="2" s="1"/>
  <c r="A23" i="2"/>
  <c r="B23" i="2" s="1"/>
  <c r="A24" i="2"/>
  <c r="A25" i="2"/>
  <c r="C25" i="2" s="1"/>
  <c r="A26" i="2"/>
  <c r="C26" i="2" s="1"/>
  <c r="A27" i="2"/>
  <c r="A28" i="2"/>
  <c r="A29" i="2"/>
  <c r="A30" i="2"/>
  <c r="A31" i="2"/>
  <c r="D31" i="2" s="1"/>
  <c r="A32" i="2"/>
  <c r="A33" i="2"/>
  <c r="A34" i="2"/>
  <c r="B34" i="2" s="1"/>
  <c r="A35" i="2"/>
  <c r="A36" i="2"/>
  <c r="A37" i="2"/>
  <c r="A38" i="2"/>
  <c r="A39" i="2"/>
  <c r="A40" i="2"/>
  <c r="A41" i="2"/>
  <c r="A42" i="2"/>
  <c r="A43" i="2"/>
  <c r="D43" i="2" s="1"/>
  <c r="A44" i="2"/>
  <c r="A45" i="2"/>
  <c r="A46" i="2"/>
  <c r="A47" i="2"/>
  <c r="A48" i="2"/>
  <c r="C48" i="2" s="1"/>
  <c r="A49" i="2"/>
  <c r="D49" i="2" s="1"/>
  <c r="A50" i="2"/>
  <c r="A51" i="2"/>
  <c r="A52" i="2"/>
  <c r="D52" i="2" s="1"/>
  <c r="A53" i="2"/>
  <c r="B53" i="2" s="1"/>
  <c r="A54" i="2"/>
  <c r="C54" i="2" s="1"/>
  <c r="A55" i="2"/>
  <c r="C55" i="2" s="1"/>
  <c r="A56" i="2"/>
  <c r="C56" i="2" s="1"/>
  <c r="A57" i="2"/>
  <c r="D57" i="2" s="1"/>
  <c r="A58" i="2"/>
  <c r="D58" i="2" s="1"/>
  <c r="A59" i="2"/>
  <c r="A60" i="2"/>
  <c r="A61" i="2"/>
  <c r="A62" i="2"/>
  <c r="A63" i="2"/>
  <c r="C63" i="2" s="1"/>
  <c r="A64" i="2"/>
  <c r="C64" i="2" s="1"/>
  <c r="A65" i="2"/>
  <c r="C65" i="2" s="1"/>
  <c r="A66" i="2"/>
  <c r="A67" i="2"/>
  <c r="A68" i="2"/>
  <c r="A69" i="2"/>
  <c r="A70" i="2"/>
  <c r="A71" i="2"/>
  <c r="A72" i="2"/>
  <c r="C72" i="2" s="1"/>
  <c r="A73" i="2"/>
  <c r="C73" i="2" s="1"/>
  <c r="A74" i="2"/>
  <c r="C74" i="2" s="1"/>
  <c r="A75" i="2"/>
  <c r="B75" i="2" s="1"/>
  <c r="A76" i="2"/>
  <c r="A77" i="2"/>
  <c r="A78" i="2"/>
  <c r="B78" i="2" s="1"/>
  <c r="A79" i="2"/>
  <c r="B79" i="2" s="1"/>
  <c r="A80" i="2"/>
  <c r="C80" i="2" s="1"/>
  <c r="A81" i="2"/>
  <c r="B81" i="2" s="1"/>
  <c r="A82" i="2"/>
  <c r="C82" i="2" s="1"/>
  <c r="A83" i="2"/>
  <c r="A84" i="2"/>
  <c r="A85" i="2"/>
  <c r="A86" i="2"/>
  <c r="D86" i="2" s="1"/>
  <c r="A87" i="2"/>
  <c r="B87" i="2" s="1"/>
  <c r="A88" i="2"/>
  <c r="A89" i="2"/>
  <c r="A90" i="2"/>
  <c r="A91" i="2"/>
  <c r="A92" i="2"/>
  <c r="A93" i="2"/>
  <c r="B93" i="2" s="1"/>
  <c r="A94" i="2"/>
  <c r="A95" i="2"/>
  <c r="D95" i="2" s="1"/>
  <c r="A96" i="2"/>
  <c r="A97" i="2"/>
  <c r="A98" i="2"/>
  <c r="D98" i="2" s="1"/>
  <c r="A99" i="2"/>
  <c r="B99" i="2" s="1"/>
  <c r="A100" i="2"/>
  <c r="A101" i="2"/>
  <c r="A102" i="2"/>
  <c r="A103" i="2"/>
  <c r="A104" i="2"/>
  <c r="A105" i="2"/>
  <c r="A106" i="2"/>
  <c r="C106" i="2" s="1"/>
  <c r="A107" i="2"/>
  <c r="A108" i="2"/>
  <c r="A109" i="2"/>
  <c r="A110" i="2"/>
  <c r="A111" i="2"/>
  <c r="A112" i="2"/>
  <c r="C112" i="2" s="1"/>
  <c r="A113" i="2"/>
  <c r="D113" i="2" s="1"/>
  <c r="A114" i="2"/>
  <c r="A115" i="2"/>
  <c r="C115" i="2" s="1"/>
  <c r="A116" i="2"/>
  <c r="A117" i="2"/>
  <c r="A118" i="2"/>
  <c r="C118" i="2" s="1"/>
  <c r="A119" i="2"/>
  <c r="C119" i="2" s="1"/>
  <c r="A120" i="2"/>
  <c r="C120" i="2" s="1"/>
  <c r="A121" i="2"/>
  <c r="C121" i="2" s="1"/>
  <c r="A122" i="2"/>
  <c r="D122" i="2" s="1"/>
  <c r="A123" i="2"/>
  <c r="A124" i="2"/>
  <c r="A125" i="2"/>
  <c r="A126" i="2"/>
  <c r="A127" i="2"/>
  <c r="C127" i="2" s="1"/>
  <c r="A128" i="2"/>
  <c r="C128" i="2" s="1"/>
  <c r="A129" i="2"/>
  <c r="C129" i="2" s="1"/>
  <c r="A130" i="2"/>
  <c r="B130" i="2" s="1"/>
  <c r="A131" i="2"/>
  <c r="A132" i="2"/>
  <c r="A133" i="2"/>
  <c r="A134" i="2"/>
  <c r="A135" i="2"/>
  <c r="A136" i="2"/>
  <c r="C136" i="2" s="1"/>
  <c r="A137" i="2"/>
  <c r="C137" i="2" s="1"/>
  <c r="A138" i="2"/>
  <c r="C138" i="2" s="1"/>
  <c r="A139" i="2"/>
  <c r="A140" i="2"/>
  <c r="A141" i="2"/>
  <c r="A142" i="2"/>
  <c r="B142" i="2" s="1"/>
  <c r="A143" i="2"/>
  <c r="B143" i="2" s="1"/>
  <c r="A144" i="2"/>
  <c r="C144" i="2" s="1"/>
  <c r="A145" i="2"/>
  <c r="A146" i="2"/>
  <c r="C146" i="2" s="1"/>
  <c r="A147" i="2"/>
  <c r="A148" i="2"/>
  <c r="A149" i="2"/>
  <c r="A150" i="2"/>
  <c r="D150" i="2" s="1"/>
  <c r="A151" i="2"/>
  <c r="B151" i="2" s="1"/>
  <c r="A152" i="2"/>
  <c r="A153" i="2"/>
  <c r="B153" i="2" s="1"/>
  <c r="A154" i="2"/>
  <c r="C154" i="2" s="1"/>
  <c r="A155" i="2"/>
  <c r="A156" i="2"/>
  <c r="A157" i="2"/>
  <c r="A158" i="2"/>
  <c r="A159" i="2"/>
  <c r="D159" i="2" s="1"/>
  <c r="A160" i="2"/>
  <c r="A161" i="2"/>
  <c r="A162" i="2"/>
  <c r="A163" i="2"/>
  <c r="A164" i="2"/>
  <c r="A165" i="2"/>
  <c r="A166" i="2"/>
  <c r="A167" i="2"/>
  <c r="A168" i="2"/>
  <c r="A169" i="2"/>
  <c r="A170" i="2"/>
  <c r="C170" i="2" s="1"/>
  <c r="A171" i="2"/>
  <c r="A172" i="2"/>
  <c r="D172" i="2" s="1"/>
  <c r="A173" i="2"/>
  <c r="A174" i="2"/>
  <c r="A175" i="2"/>
  <c r="A176" i="2"/>
  <c r="C176" i="2" s="1"/>
  <c r="A177" i="2"/>
  <c r="D177" i="2" s="1"/>
  <c r="A178" i="2"/>
  <c r="A179" i="2"/>
  <c r="A180" i="2"/>
  <c r="A181" i="2"/>
  <c r="A182" i="2"/>
  <c r="C182" i="2" s="1"/>
  <c r="A183" i="2"/>
  <c r="C183" i="2" s="1"/>
  <c r="A184" i="2"/>
  <c r="C184" i="2" s="1"/>
  <c r="A185" i="2"/>
  <c r="B185" i="2" s="1"/>
  <c r="A186" i="2"/>
  <c r="A187" i="2"/>
  <c r="A188" i="2"/>
  <c r="A189" i="2"/>
  <c r="A190" i="2"/>
  <c r="A191" i="2"/>
  <c r="C191" i="2" s="1"/>
  <c r="A192" i="2"/>
  <c r="C192" i="2" s="1"/>
  <c r="A193" i="2"/>
  <c r="C193" i="2" s="1"/>
  <c r="A194" i="2"/>
  <c r="B194" i="2" s="1"/>
  <c r="A195" i="2"/>
  <c r="A196" i="2"/>
  <c r="D196" i="2" s="1"/>
  <c r="A197" i="2"/>
  <c r="A198" i="2"/>
  <c r="A199" i="2"/>
  <c r="A200" i="2"/>
  <c r="C200" i="2" s="1"/>
  <c r="A201" i="2"/>
  <c r="C201" i="2" s="1"/>
  <c r="A202" i="2"/>
  <c r="A203" i="2"/>
  <c r="A204" i="2"/>
  <c r="A205" i="2"/>
  <c r="B205" i="2" s="1"/>
  <c r="A206" i="2"/>
  <c r="A207" i="2"/>
  <c r="A208" i="2"/>
  <c r="C208" i="2" s="1"/>
  <c r="A209" i="2"/>
  <c r="B209" i="2" s="1"/>
  <c r="A210" i="2"/>
  <c r="A211" i="2"/>
  <c r="A212" i="2"/>
  <c r="A213" i="2"/>
  <c r="A214" i="2"/>
  <c r="D214" i="2" s="1"/>
  <c r="A215" i="2"/>
  <c r="D215" i="2" s="1"/>
  <c r="A216" i="2"/>
  <c r="C216" i="2" s="1"/>
  <c r="A217" i="2"/>
  <c r="B217" i="2" s="1"/>
  <c r="A218" i="2"/>
  <c r="B218" i="2" s="1"/>
  <c r="A219" i="2"/>
  <c r="A220" i="2"/>
  <c r="A221" i="2"/>
  <c r="B221" i="2" s="1"/>
  <c r="A222" i="2"/>
  <c r="A223" i="2"/>
  <c r="D223" i="2" s="1"/>
  <c r="A224" i="2"/>
  <c r="A225" i="2"/>
  <c r="D225" i="2" s="1"/>
  <c r="A226" i="2"/>
  <c r="B226" i="2" s="1"/>
  <c r="A227" i="2"/>
  <c r="A228" i="2"/>
  <c r="A229" i="2"/>
  <c r="A230" i="2"/>
  <c r="A231" i="2"/>
  <c r="A232" i="2"/>
  <c r="A233" i="2"/>
  <c r="D233" i="2" s="1"/>
  <c r="A234" i="2"/>
  <c r="B234" i="2" s="1"/>
  <c r="A235" i="2"/>
  <c r="A236" i="2"/>
  <c r="C236" i="2" s="1"/>
  <c r="A237" i="2"/>
  <c r="B237" i="2" s="1"/>
  <c r="A238" i="2"/>
  <c r="A239" i="2"/>
  <c r="A240" i="2"/>
  <c r="C240" i="2" s="1"/>
  <c r="A241" i="2"/>
  <c r="D241" i="2" s="1"/>
  <c r="A242" i="2"/>
  <c r="A243" i="2"/>
  <c r="A244" i="2"/>
  <c r="A245" i="2"/>
  <c r="B245" i="2" s="1"/>
  <c r="A246" i="2"/>
  <c r="C246" i="2" s="1"/>
  <c r="A247" i="2"/>
  <c r="C247" i="2" s="1"/>
  <c r="A248" i="2"/>
  <c r="C248" i="2" s="1"/>
  <c r="A249" i="2"/>
  <c r="D249" i="2" s="1"/>
  <c r="A250" i="2"/>
  <c r="A251" i="2"/>
  <c r="A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" i="1"/>
  <c r="C189" i="2" l="1"/>
  <c r="B189" i="2"/>
  <c r="B157" i="2"/>
  <c r="C157" i="2"/>
  <c r="B133" i="2"/>
  <c r="D133" i="2"/>
  <c r="C133" i="2"/>
  <c r="B69" i="2"/>
  <c r="D69" i="2"/>
  <c r="C69" i="2"/>
  <c r="B37" i="2"/>
  <c r="C37" i="2"/>
  <c r="B13" i="2"/>
  <c r="D13" i="2"/>
  <c r="C13" i="2"/>
  <c r="D204" i="2"/>
  <c r="C204" i="2"/>
  <c r="D188" i="2"/>
  <c r="B188" i="2"/>
  <c r="C188" i="2"/>
  <c r="C156" i="2"/>
  <c r="D156" i="2"/>
  <c r="B156" i="2"/>
  <c r="D140" i="2"/>
  <c r="B140" i="2"/>
  <c r="D124" i="2"/>
  <c r="B124" i="2"/>
  <c r="D116" i="2"/>
  <c r="C116" i="2"/>
  <c r="B116" i="2"/>
  <c r="C108" i="2"/>
  <c r="B108" i="2"/>
  <c r="C100" i="2"/>
  <c r="D100" i="2"/>
  <c r="C92" i="2"/>
  <c r="B92" i="2"/>
  <c r="C84" i="2"/>
  <c r="D84" i="2"/>
  <c r="B84" i="2"/>
  <c r="D76" i="2"/>
  <c r="C76" i="2"/>
  <c r="D68" i="2"/>
  <c r="B68" i="2"/>
  <c r="D60" i="2"/>
  <c r="B60" i="2"/>
  <c r="C60" i="2"/>
  <c r="D44" i="2"/>
  <c r="B44" i="2"/>
  <c r="C36" i="2"/>
  <c r="B36" i="2"/>
  <c r="D36" i="2"/>
  <c r="C28" i="2"/>
  <c r="D28" i="2"/>
  <c r="B20" i="2"/>
  <c r="D20" i="2"/>
  <c r="C12" i="2"/>
  <c r="B12" i="2"/>
  <c r="D4" i="2"/>
  <c r="B4" i="2"/>
  <c r="C4" i="2"/>
  <c r="B172" i="2"/>
  <c r="B28" i="2"/>
  <c r="C124" i="2"/>
  <c r="D157" i="2"/>
  <c r="D93" i="2"/>
  <c r="D53" i="2"/>
  <c r="C229" i="2"/>
  <c r="D229" i="2"/>
  <c r="B229" i="2"/>
  <c r="D213" i="2"/>
  <c r="B213" i="2"/>
  <c r="C213" i="2"/>
  <c r="D197" i="2"/>
  <c r="B197" i="2"/>
  <c r="D181" i="2"/>
  <c r="C181" i="2"/>
  <c r="B181" i="2"/>
  <c r="B165" i="2"/>
  <c r="C165" i="2"/>
  <c r="D165" i="2"/>
  <c r="B141" i="2"/>
  <c r="D141" i="2"/>
  <c r="C141" i="2"/>
  <c r="B125" i="2"/>
  <c r="D125" i="2"/>
  <c r="B109" i="2"/>
  <c r="C109" i="2"/>
  <c r="B101" i="2"/>
  <c r="C101" i="2"/>
  <c r="D101" i="2"/>
  <c r="B77" i="2"/>
  <c r="D77" i="2"/>
  <c r="B45" i="2"/>
  <c r="C45" i="2"/>
  <c r="D45" i="2"/>
  <c r="C125" i="2"/>
  <c r="B244" i="2"/>
  <c r="D244" i="2"/>
  <c r="C228" i="2"/>
  <c r="D228" i="2"/>
  <c r="B212" i="2"/>
  <c r="D212" i="2"/>
  <c r="D180" i="2"/>
  <c r="C180" i="2"/>
  <c r="B180" i="2"/>
  <c r="C164" i="2"/>
  <c r="B164" i="2"/>
  <c r="D164" i="2"/>
  <c r="D148" i="2"/>
  <c r="C148" i="2"/>
  <c r="D132" i="2"/>
  <c r="B132" i="2"/>
  <c r="C132" i="2"/>
  <c r="D243" i="2"/>
  <c r="B243" i="2"/>
  <c r="D227" i="2"/>
  <c r="B227" i="2"/>
  <c r="C227" i="2"/>
  <c r="D219" i="2"/>
  <c r="C219" i="2"/>
  <c r="B219" i="2"/>
  <c r="D203" i="2"/>
  <c r="B203" i="2"/>
  <c r="C203" i="2"/>
  <c r="D195" i="2"/>
  <c r="B195" i="2"/>
  <c r="C195" i="2"/>
  <c r="D179" i="2"/>
  <c r="B179" i="2"/>
  <c r="C179" i="2"/>
  <c r="D171" i="2"/>
  <c r="C171" i="2"/>
  <c r="D155" i="2"/>
  <c r="C155" i="2"/>
  <c r="B155" i="2"/>
  <c r="D147" i="2"/>
  <c r="C147" i="2"/>
  <c r="D131" i="2"/>
  <c r="C131" i="2"/>
  <c r="B131" i="2"/>
  <c r="D123" i="2"/>
  <c r="B123" i="2"/>
  <c r="C123" i="2"/>
  <c r="D107" i="2"/>
  <c r="C107" i="2"/>
  <c r="B107" i="2"/>
  <c r="D91" i="2"/>
  <c r="C91" i="2"/>
  <c r="B91" i="2"/>
  <c r="D83" i="2"/>
  <c r="C83" i="2"/>
  <c r="B83" i="2"/>
  <c r="D75" i="2"/>
  <c r="C75" i="2"/>
  <c r="D59" i="2"/>
  <c r="B59" i="2"/>
  <c r="C59" i="2"/>
  <c r="D51" i="2"/>
  <c r="B51" i="2"/>
  <c r="C51" i="2"/>
  <c r="D35" i="2"/>
  <c r="C35" i="2"/>
  <c r="B35" i="2"/>
  <c r="B236" i="2"/>
  <c r="B204" i="2"/>
  <c r="B171" i="2"/>
  <c r="B148" i="2"/>
  <c r="C221" i="2"/>
  <c r="C21" i="2"/>
  <c r="D92" i="2"/>
  <c r="C237" i="2"/>
  <c r="D237" i="2"/>
  <c r="D205" i="2"/>
  <c r="C205" i="2"/>
  <c r="B173" i="2"/>
  <c r="C173" i="2"/>
  <c r="B149" i="2"/>
  <c r="D149" i="2"/>
  <c r="B117" i="2"/>
  <c r="C117" i="2"/>
  <c r="D117" i="2"/>
  <c r="B85" i="2"/>
  <c r="C85" i="2"/>
  <c r="D85" i="2"/>
  <c r="B61" i="2"/>
  <c r="D61" i="2"/>
  <c r="C61" i="2"/>
  <c r="B29" i="2"/>
  <c r="D29" i="2"/>
  <c r="C29" i="2"/>
  <c r="B5" i="2"/>
  <c r="D5" i="2"/>
  <c r="C2" i="2"/>
  <c r="D2" i="2"/>
  <c r="B2" i="2"/>
  <c r="C220" i="2"/>
  <c r="B220" i="2"/>
  <c r="D251" i="2"/>
  <c r="B251" i="2"/>
  <c r="C251" i="2"/>
  <c r="D235" i="2"/>
  <c r="B235" i="2"/>
  <c r="D211" i="2"/>
  <c r="C211" i="2"/>
  <c r="B211" i="2"/>
  <c r="D187" i="2"/>
  <c r="B187" i="2"/>
  <c r="D163" i="2"/>
  <c r="B163" i="2"/>
  <c r="D139" i="2"/>
  <c r="B139" i="2"/>
  <c r="D115" i="2"/>
  <c r="B115" i="2"/>
  <c r="D99" i="2"/>
  <c r="C99" i="2"/>
  <c r="D67" i="2"/>
  <c r="B67" i="2"/>
  <c r="B147" i="2"/>
  <c r="B43" i="2"/>
  <c r="C235" i="2"/>
  <c r="C140" i="2"/>
  <c r="C77" i="2"/>
  <c r="C53" i="2"/>
  <c r="C20" i="2"/>
  <c r="D21" i="2"/>
  <c r="D19" i="2"/>
  <c r="C19" i="2"/>
  <c r="D250" i="2"/>
  <c r="B250" i="2"/>
  <c r="D186" i="2"/>
  <c r="B186" i="2"/>
  <c r="B50" i="2"/>
  <c r="D50" i="2"/>
  <c r="C3" i="2"/>
  <c r="C232" i="2"/>
  <c r="D232" i="2"/>
  <c r="C168" i="2"/>
  <c r="D168" i="2"/>
  <c r="C96" i="2"/>
  <c r="B96" i="2"/>
  <c r="D96" i="2"/>
  <c r="C88" i="2"/>
  <c r="B88" i="2"/>
  <c r="D88" i="2"/>
  <c r="B249" i="2"/>
  <c r="B138" i="2"/>
  <c r="B128" i="2"/>
  <c r="B80" i="2"/>
  <c r="B56" i="2"/>
  <c r="B19" i="2"/>
  <c r="B8" i="2"/>
  <c r="C249" i="2"/>
  <c r="C225" i="2"/>
  <c r="C177" i="2"/>
  <c r="C153" i="2"/>
  <c r="C130" i="2"/>
  <c r="C81" i="2"/>
  <c r="C58" i="2"/>
  <c r="C34" i="2"/>
  <c r="C11" i="2"/>
  <c r="D248" i="2"/>
  <c r="D201" i="2"/>
  <c r="D176" i="2"/>
  <c r="D137" i="2"/>
  <c r="D81" i="2"/>
  <c r="D56" i="2"/>
  <c r="D27" i="2"/>
  <c r="C27" i="2"/>
  <c r="B242" i="2"/>
  <c r="D242" i="2"/>
  <c r="C210" i="2"/>
  <c r="B210" i="2"/>
  <c r="B178" i="2"/>
  <c r="D178" i="2"/>
  <c r="B114" i="2"/>
  <c r="D114" i="2"/>
  <c r="B11" i="2"/>
  <c r="C252" i="2"/>
  <c r="C194" i="2"/>
  <c r="C122" i="2"/>
  <c r="C98" i="2"/>
  <c r="C50" i="2"/>
  <c r="D154" i="2"/>
  <c r="D74" i="2"/>
  <c r="D34" i="2"/>
  <c r="D18" i="2"/>
  <c r="B169" i="2"/>
  <c r="D169" i="2"/>
  <c r="B161" i="2"/>
  <c r="D161" i="2"/>
  <c r="B105" i="2"/>
  <c r="D105" i="2"/>
  <c r="B97" i="2"/>
  <c r="D97" i="2"/>
  <c r="B41" i="2"/>
  <c r="D41" i="2"/>
  <c r="B33" i="2"/>
  <c r="D33" i="2"/>
  <c r="B241" i="2"/>
  <c r="B177" i="2"/>
  <c r="B154" i="2"/>
  <c r="B82" i="2"/>
  <c r="B58" i="2"/>
  <c r="B10" i="2"/>
  <c r="C169" i="2"/>
  <c r="C97" i="2"/>
  <c r="C49" i="2"/>
  <c r="D216" i="2"/>
  <c r="D192" i="2"/>
  <c r="D153" i="2"/>
  <c r="D128" i="2"/>
  <c r="D112" i="2"/>
  <c r="D73" i="2"/>
  <c r="B202" i="2"/>
  <c r="C202" i="2"/>
  <c r="B170" i="2"/>
  <c r="D170" i="2"/>
  <c r="B106" i="2"/>
  <c r="D106" i="2"/>
  <c r="B42" i="2"/>
  <c r="D42" i="2"/>
  <c r="C224" i="2"/>
  <c r="D224" i="2"/>
  <c r="C160" i="2"/>
  <c r="B160" i="2"/>
  <c r="D160" i="2"/>
  <c r="C152" i="2"/>
  <c r="B152" i="2"/>
  <c r="D152" i="2"/>
  <c r="C104" i="2"/>
  <c r="D104" i="2"/>
  <c r="C40" i="2"/>
  <c r="D40" i="2"/>
  <c r="C32" i="2"/>
  <c r="B32" i="2"/>
  <c r="D32" i="2"/>
  <c r="C24" i="2"/>
  <c r="B24" i="2"/>
  <c r="D24" i="2"/>
  <c r="B252" i="2"/>
  <c r="B240" i="2"/>
  <c r="B208" i="2"/>
  <c r="B176" i="2"/>
  <c r="B129" i="2"/>
  <c r="B104" i="2"/>
  <c r="B57" i="2"/>
  <c r="B9" i="2"/>
  <c r="C250" i="2"/>
  <c r="C226" i="2"/>
  <c r="C178" i="2"/>
  <c r="D226" i="2"/>
  <c r="D202" i="2"/>
  <c r="D138" i="2"/>
  <c r="D82" i="2"/>
  <c r="D72" i="2"/>
  <c r="D16" i="2"/>
  <c r="D151" i="2"/>
  <c r="D87" i="2"/>
  <c r="D23" i="2"/>
</calcChain>
</file>

<file path=xl/sharedStrings.xml><?xml version="1.0" encoding="utf-8"?>
<sst xmlns="http://schemas.openxmlformats.org/spreadsheetml/2006/main" count="1014" uniqueCount="289">
  <si>
    <t>Name</t>
  </si>
  <si>
    <t>Gender</t>
  </si>
  <si>
    <t>Location</t>
  </si>
  <si>
    <t>Billing Information</t>
  </si>
  <si>
    <t>Group Membership</t>
  </si>
  <si>
    <t>Phone 1 - Type</t>
  </si>
  <si>
    <t>Phone 1 - Value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</si>
  <si>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</si>
  <si>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</si>
  <si>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</si>
  <si>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</si>
  <si>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</si>
  <si>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</si>
  <si>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</si>
  <si>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</si>
  <si>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</si>
  <si>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</si>
  <si>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</si>
  <si>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</si>
  <si>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</si>
  <si>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</si>
  <si>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</si>
  <si>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</si>
  <si>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</si>
  <si>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</si>
  <si>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</si>
  <si>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</si>
  <si>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</si>
  <si>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</si>
  <si>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</si>
  <si>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</si>
  <si>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</si>
  <si>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</si>
  <si>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</si>
  <si>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</si>
  <si>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</si>
  <si>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</si>
  <si>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</si>
  <si>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</si>
  <si>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</si>
  <si>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</si>
  <si>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</si>
  <si>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</si>
  <si>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</si>
  <si>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</si>
  <si>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</si>
  <si>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</si>
  <si>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</si>
  <si>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</si>
  <si>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</si>
  <si>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</si>
  <si>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</si>
  <si>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</si>
  <si>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</si>
  <si>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</si>
  <si>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</si>
  <si>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</si>
  <si>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</si>
  <si>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</si>
  <si>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</si>
  <si>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</si>
  <si>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</si>
  <si>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</si>
  <si>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</si>
  <si>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</si>
  <si>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</si>
  <si>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</si>
  <si>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</si>
  <si>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</si>
  <si>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</si>
  <si>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</si>
  <si>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</si>
  <si>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</si>
  <si>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</si>
  <si>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</si>
  <si>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</si>
  <si>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</si>
  <si>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</si>
  <si>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</si>
  <si>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</si>
  <si>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</si>
  <si>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</si>
  <si>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</si>
  <si>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</si>
  <si>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</si>
  <si>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</si>
  <si>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</si>
  <si>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</si>
  <si>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</si>
  <si>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</si>
  <si>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</si>
  <si>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</si>
  <si>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</si>
  <si>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</si>
  <si>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</si>
  <si>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</si>
  <si>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</si>
  <si>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</si>
  <si>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</si>
  <si>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</si>
  <si>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</si>
  <si>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</si>
  <si>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</si>
  <si>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</si>
  <si>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</si>
  <si>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</si>
  <si>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</si>
  <si>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</si>
  <si>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</si>
  <si>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</si>
  <si>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</si>
  <si>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</si>
  <si>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</si>
  <si>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</si>
  <si>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</si>
  <si>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</si>
  <si>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</si>
  <si>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</si>
  <si>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</si>
  <si>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</si>
  <si>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</si>
  <si>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</si>
  <si>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</si>
  <si>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</si>
  <si>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</si>
  <si>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</si>
  <si>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</si>
  <si>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</si>
  <si>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</si>
  <si>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</si>
  <si>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</si>
  <si>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</si>
  <si>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</si>
  <si>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</si>
  <si>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</si>
  <si>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</si>
  <si>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</si>
  <si>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</si>
  <si>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</si>
  <si>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</si>
  <si>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</si>
  <si>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</si>
  <si>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</si>
  <si>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</si>
  <si>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</si>
  <si>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</si>
  <si>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</si>
  <si>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</si>
  <si>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</si>
  <si>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</si>
  <si>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</si>
  <si>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</si>
  <si>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</si>
  <si>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</si>
  <si>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</si>
  <si>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</si>
  <si>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</si>
  <si>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</si>
  <si>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</si>
  <si>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</si>
  <si>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</si>
  <si>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</si>
  <si>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</si>
  <si>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</si>
  <si>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</si>
  <si>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</si>
  <si>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</si>
  <si>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</si>
  <si>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</si>
  <si>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</si>
  <si>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</si>
  <si>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</si>
  <si>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</si>
  <si>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</si>
  <si>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</si>
  <si>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</si>
  <si>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</si>
  <si>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</si>
  <si>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</si>
  <si>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</si>
  <si>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</si>
  <si>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</si>
  <si>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</si>
  <si>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</si>
  <si>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</si>
  <si>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</si>
  <si>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</si>
  <si>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</si>
  <si>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</si>
  <si>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</si>
  <si>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</si>
  <si>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</si>
  <si>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</si>
  <si>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</si>
  <si>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</si>
  <si>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</si>
  <si>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</si>
  <si>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</si>
  <si>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</si>
  <si>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</si>
  <si>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</si>
  <si>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</si>
  <si>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</si>
  <si>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</si>
  <si>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</si>
  <si>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</si>
  <si>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</si>
  <si>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</si>
  <si>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</si>
  <si>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</si>
  <si>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</si>
  <si>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</si>
  <si>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</si>
  <si>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</si>
  <si>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</si>
  <si>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</si>
  <si>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</si>
  <si>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</si>
  <si>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</si>
  <si>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</si>
  <si>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</si>
  <si>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</si>
  <si>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</si>
  <si>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</si>
  <si>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</si>
  <si>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</si>
  <si>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</si>
  <si>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</si>
  <si>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</si>
  <si>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</si>
  <si>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</si>
  <si>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</si>
  <si>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</si>
  <si>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</si>
  <si>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</si>
  <si>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</si>
  <si>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</si>
  <si>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</si>
  <si>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</si>
  <si>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</si>
  <si>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</si>
  <si>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</si>
  <si>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</si>
  <si>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</si>
  <si>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</si>
  <si>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</si>
  <si>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</si>
  <si>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</si>
  <si>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</si>
  <si>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</si>
  <si>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</si>
  <si>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</si>
  <si>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</si>
  <si>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</si>
  <si>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</si>
  <si>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</si>
  <si>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</si>
  <si>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</si>
  <si>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Age</t>
  </si>
  <si>
    <t>Alex Carey</t>
  </si>
  <si>
    <t>Bob Bash</t>
  </si>
  <si>
    <t>Caty Pal</t>
  </si>
  <si>
    <t>Dawg Dei</t>
  </si>
  <si>
    <t>Eiih Ros</t>
  </si>
  <si>
    <t>Fat Fish</t>
  </si>
  <si>
    <t>Goat Life</t>
  </si>
  <si>
    <t>Hank Hunk</t>
  </si>
  <si>
    <t>Izee Lee</t>
  </si>
  <si>
    <t>Jech Will</t>
  </si>
  <si>
    <t>Krill Kull</t>
  </si>
  <si>
    <t>Luss Yee</t>
  </si>
  <si>
    <t>Monty Zui</t>
  </si>
  <si>
    <t>Oon Wech</t>
  </si>
  <si>
    <t>Pery Peri</t>
  </si>
  <si>
    <t>Quin Cute</t>
  </si>
  <si>
    <t>Rose Tuss</t>
  </si>
  <si>
    <t>Tuzz Tee</t>
  </si>
  <si>
    <t>Unerica Vels</t>
  </si>
  <si>
    <t>Verican Bert</t>
  </si>
  <si>
    <t>Wallc Jos</t>
  </si>
  <si>
    <t>Xyzzy Eazy</t>
  </si>
  <si>
    <t>Yeas Yee</t>
  </si>
  <si>
    <t>Zeal Pearl</t>
  </si>
  <si>
    <t>M</t>
  </si>
  <si>
    <t>F</t>
  </si>
  <si>
    <t>Paid</t>
  </si>
  <si>
    <t>Unpaid</t>
  </si>
  <si>
    <t>To find the offer eligibility on the basis of billing info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</si>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</sst>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/>
    <xf numFmtId="0" fontId="0" fillId="2" borderId="0" xfId="0" applyFont="1" applyFill="1" applyAlignme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zoomScaleNormal="100" workbookViewId="0">
      <selection activeCell="K2" sqref="K2"/>
    </sheetView>
  </sheetViews>
  <sheetFormatPr defaultRowHeight="14.4" x14ac:dyDescent="0.3"/>
  <cols>
    <col min="1" max="1" width="5.88671875" bestFit="1" customWidth="1"/>
    <col min="2" max="2" width="11.109375" bestFit="1" customWidth="1"/>
    <col min="3" max="3" width="4" bestFit="1" customWidth="1"/>
    <col min="4" max="4" width="6.88671875" bestFit="1" customWidth="1"/>
    <col min="5" max="5" width="8.109375" bestFit="1" customWidth="1"/>
    <col min="6" max="6" width="16.109375" bestFit="1" customWidth="1"/>
    <col min="7" max="7" width="16.6640625" bestFit="1" customWidth="1"/>
    <col min="8" max="8" width="13.109375" bestFit="1" customWidth="1"/>
    <col min="9" max="9" width="13.77734375" bestFit="1" customWidth="1"/>
  </cols>
  <sheetData>
    <row r="1" spans="1:9" x14ac:dyDescent="0.3">
      <c r="A1" t="s">
        <v>288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 t="s">
        <v>259</v>
      </c>
      <c r="C2">
        <v>26</v>
      </c>
      <c r="D2" t="s">
        <v>283</v>
      </c>
      <c r="F2" t="s">
        <v>285</v>
      </c>
      <c r="G2" t="str">
        <f>IF(F2="Paid","Y","N")</f>
        <v>Y</v>
      </c>
      <c r="H2" t="str">
        <f>IF(C2&lt;23,"Aircel",IF(C2&lt;26,"Volcano","Nokia"))</f>
        <v>Nokia</v>
      </c>
      <c r="I2">
        <v>9981200000</v>
      </c>
    </row>
    <row r="3" spans="1:9" x14ac:dyDescent="0.3">
      <c r="A3" t="s">
        <v>8</v>
      </c>
      <c r="B3" t="s">
        <v>260</v>
      </c>
      <c r="C3">
        <v>26</v>
      </c>
      <c r="D3" t="s">
        <v>283</v>
      </c>
      <c r="F3" t="s">
        <v>285</v>
      </c>
      <c r="G3" t="str">
        <f t="shared" ref="G3:G66" si="0">IF(F3="Paid","Y","N")</f>
        <v>Y</v>
      </c>
      <c r="H3" t="str">
        <f t="shared" ref="H3:H66" si="1">IF(C3&lt;23,"Aircel",IF(C3&lt;26,"Volcano","Nokia"))</f>
        <v>Nokia</v>
      </c>
      <c r="I3">
        <v>9981200001</v>
      </c>
    </row>
    <row r="4" spans="1:9" x14ac:dyDescent="0.3">
      <c r="A4" t="s">
        <v>9</v>
      </c>
      <c r="B4" t="s">
        <v>261</v>
      </c>
      <c r="C4">
        <v>27</v>
      </c>
      <c r="D4" t="s">
        <v>284</v>
      </c>
      <c r="F4" t="s">
        <v>286</v>
      </c>
      <c r="G4" t="str">
        <f t="shared" si="0"/>
        <v>N</v>
      </c>
      <c r="H4" t="str">
        <f t="shared" si="1"/>
        <v>Nokia</v>
      </c>
      <c r="I4">
        <v>9981200002</v>
      </c>
    </row>
    <row r="5" spans="1:9" x14ac:dyDescent="0.3">
      <c r="A5" t="s">
        <v>10</v>
      </c>
      <c r="B5" t="s">
        <v>262</v>
      </c>
      <c r="C5">
        <v>23</v>
      </c>
      <c r="D5" t="s">
        <v>283</v>
      </c>
      <c r="F5" t="s">
        <v>285</v>
      </c>
      <c r="G5" t="str">
        <f t="shared" si="0"/>
        <v>Y</v>
      </c>
      <c r="H5" t="str">
        <f t="shared" si="1"/>
        <v>Volcano</v>
      </c>
      <c r="I5">
        <v>9981200003</v>
      </c>
    </row>
    <row r="6" spans="1:9" x14ac:dyDescent="0.3">
      <c r="A6" t="s">
        <v>11</v>
      </c>
      <c r="B6" t="s">
        <v>263</v>
      </c>
      <c r="C6">
        <v>24</v>
      </c>
      <c r="D6" t="s">
        <v>284</v>
      </c>
      <c r="F6" t="s">
        <v>285</v>
      </c>
      <c r="G6" t="str">
        <f t="shared" si="0"/>
        <v>Y</v>
      </c>
      <c r="H6" t="str">
        <f t="shared" si="1"/>
        <v>Volcano</v>
      </c>
      <c r="I6">
        <v>9981200004</v>
      </c>
    </row>
    <row r="7" spans="1:9" x14ac:dyDescent="0.3">
      <c r="A7" t="s">
        <v>12</v>
      </c>
      <c r="B7" t="s">
        <v>264</v>
      </c>
      <c r="C7">
        <v>25</v>
      </c>
      <c r="D7" t="s">
        <v>283</v>
      </c>
      <c r="F7" t="s">
        <v>285</v>
      </c>
      <c r="G7" t="str">
        <f t="shared" si="0"/>
        <v>Y</v>
      </c>
      <c r="H7" t="str">
        <f t="shared" si="1"/>
        <v>Volcano</v>
      </c>
      <c r="I7">
        <v>9981200005</v>
      </c>
    </row>
    <row r="8" spans="1:9" x14ac:dyDescent="0.3">
      <c r="A8" t="s">
        <v>13</v>
      </c>
      <c r="B8" t="s">
        <v>265</v>
      </c>
      <c r="C8">
        <v>25</v>
      </c>
      <c r="D8" t="s">
        <v>283</v>
      </c>
      <c r="F8" t="s">
        <v>285</v>
      </c>
      <c r="G8" t="str">
        <f t="shared" si="0"/>
        <v>Y</v>
      </c>
      <c r="H8" t="str">
        <f t="shared" si="1"/>
        <v>Volcano</v>
      </c>
      <c r="I8">
        <v>9981200006</v>
      </c>
    </row>
    <row r="9" spans="1:9" x14ac:dyDescent="0.3">
      <c r="A9" t="s">
        <v>14</v>
      </c>
      <c r="B9" t="s">
        <v>266</v>
      </c>
      <c r="C9">
        <v>26</v>
      </c>
      <c r="D9" t="s">
        <v>283</v>
      </c>
      <c r="F9" t="s">
        <v>285</v>
      </c>
      <c r="G9" t="str">
        <f t="shared" si="0"/>
        <v>Y</v>
      </c>
      <c r="H9" t="str">
        <f t="shared" si="1"/>
        <v>Nokia</v>
      </c>
      <c r="I9">
        <v>9981200007</v>
      </c>
    </row>
    <row r="10" spans="1:9" x14ac:dyDescent="0.3">
      <c r="A10" t="s">
        <v>15</v>
      </c>
      <c r="B10" t="s">
        <v>267</v>
      </c>
      <c r="C10">
        <v>28</v>
      </c>
      <c r="D10" t="s">
        <v>284</v>
      </c>
      <c r="F10" t="s">
        <v>286</v>
      </c>
      <c r="G10" t="str">
        <f t="shared" si="0"/>
        <v>N</v>
      </c>
      <c r="H10" t="str">
        <f t="shared" si="1"/>
        <v>Nokia</v>
      </c>
      <c r="I10">
        <v>9981200008</v>
      </c>
    </row>
    <row r="11" spans="1:9" x14ac:dyDescent="0.3">
      <c r="A11" t="s">
        <v>16</v>
      </c>
      <c r="B11" t="s">
        <v>268</v>
      </c>
      <c r="C11">
        <v>28</v>
      </c>
      <c r="D11" t="s">
        <v>283</v>
      </c>
      <c r="F11" t="s">
        <v>286</v>
      </c>
      <c r="G11" t="str">
        <f t="shared" si="0"/>
        <v>N</v>
      </c>
      <c r="H11" t="str">
        <f t="shared" si="1"/>
        <v>Nokia</v>
      </c>
      <c r="I11">
        <v>9981200009</v>
      </c>
    </row>
    <row r="12" spans="1:9" x14ac:dyDescent="0.3">
      <c r="A12" t="s">
        <v>17</v>
      </c>
      <c r="B12" t="s">
        <v>269</v>
      </c>
      <c r="C12">
        <v>27</v>
      </c>
      <c r="D12" t="s">
        <v>283</v>
      </c>
      <c r="F12" t="s">
        <v>286</v>
      </c>
      <c r="G12" t="str">
        <f t="shared" si="0"/>
        <v>N</v>
      </c>
      <c r="H12" t="str">
        <f t="shared" si="1"/>
        <v>Nokia</v>
      </c>
      <c r="I12">
        <v>9981200010</v>
      </c>
    </row>
    <row r="13" spans="1:9" x14ac:dyDescent="0.3">
      <c r="A13" t="s">
        <v>18</v>
      </c>
      <c r="B13" t="s">
        <v>270</v>
      </c>
      <c r="C13">
        <v>24</v>
      </c>
      <c r="D13" t="s">
        <v>283</v>
      </c>
      <c r="F13" t="s">
        <v>286</v>
      </c>
      <c r="G13" t="str">
        <f t="shared" si="0"/>
        <v>N</v>
      </c>
      <c r="H13" t="str">
        <f t="shared" si="1"/>
        <v>Volcano</v>
      </c>
      <c r="I13">
        <v>9981200011</v>
      </c>
    </row>
    <row r="14" spans="1:9" x14ac:dyDescent="0.3">
      <c r="A14" t="s">
        <v>19</v>
      </c>
      <c r="B14" t="s">
        <v>271</v>
      </c>
      <c r="C14">
        <v>25</v>
      </c>
      <c r="D14" t="s">
        <v>283</v>
      </c>
      <c r="F14" t="s">
        <v>285</v>
      </c>
      <c r="G14" t="str">
        <f t="shared" si="0"/>
        <v>Y</v>
      </c>
      <c r="H14" t="str">
        <f t="shared" si="1"/>
        <v>Volcano</v>
      </c>
      <c r="I14">
        <v>9981200012</v>
      </c>
    </row>
    <row r="15" spans="1:9" x14ac:dyDescent="0.3">
      <c r="A15" t="s">
        <v>20</v>
      </c>
      <c r="B15" t="s">
        <v>272</v>
      </c>
      <c r="C15">
        <v>27</v>
      </c>
      <c r="D15" t="s">
        <v>284</v>
      </c>
      <c r="F15" t="s">
        <v>285</v>
      </c>
      <c r="G15" t="str">
        <f t="shared" si="0"/>
        <v>Y</v>
      </c>
      <c r="H15" t="str">
        <f t="shared" si="1"/>
        <v>Nokia</v>
      </c>
      <c r="I15">
        <v>9981200013</v>
      </c>
    </row>
    <row r="16" spans="1:9" x14ac:dyDescent="0.3">
      <c r="A16" t="s">
        <v>21</v>
      </c>
      <c r="B16" t="s">
        <v>273</v>
      </c>
      <c r="C16">
        <v>23</v>
      </c>
      <c r="D16" t="s">
        <v>284</v>
      </c>
      <c r="F16" t="s">
        <v>286</v>
      </c>
      <c r="G16" t="str">
        <f t="shared" si="0"/>
        <v>N</v>
      </c>
      <c r="H16" t="str">
        <f t="shared" si="1"/>
        <v>Volcano</v>
      </c>
      <c r="I16">
        <v>9981200014</v>
      </c>
    </row>
    <row r="17" spans="1:9" x14ac:dyDescent="0.3">
      <c r="A17" t="s">
        <v>22</v>
      </c>
      <c r="B17" t="s">
        <v>274</v>
      </c>
      <c r="C17">
        <v>24</v>
      </c>
      <c r="D17" t="s">
        <v>284</v>
      </c>
      <c r="F17" t="s">
        <v>286</v>
      </c>
      <c r="G17" t="str">
        <f t="shared" si="0"/>
        <v>N</v>
      </c>
      <c r="H17" t="str">
        <f t="shared" si="1"/>
        <v>Volcano</v>
      </c>
      <c r="I17">
        <v>9981200015</v>
      </c>
    </row>
    <row r="18" spans="1:9" x14ac:dyDescent="0.3">
      <c r="A18" t="s">
        <v>23</v>
      </c>
      <c r="B18" t="s">
        <v>275</v>
      </c>
      <c r="C18">
        <v>25</v>
      </c>
      <c r="D18" t="s">
        <v>284</v>
      </c>
      <c r="F18" t="s">
        <v>286</v>
      </c>
      <c r="G18" t="str">
        <f t="shared" si="0"/>
        <v>N</v>
      </c>
      <c r="H18" t="str">
        <f t="shared" si="1"/>
        <v>Volcano</v>
      </c>
      <c r="I18">
        <v>9981200016</v>
      </c>
    </row>
    <row r="19" spans="1:9" x14ac:dyDescent="0.3">
      <c r="A19" t="s">
        <v>24</v>
      </c>
      <c r="B19" t="s">
        <v>276</v>
      </c>
      <c r="C19">
        <v>27</v>
      </c>
      <c r="D19" t="s">
        <v>283</v>
      </c>
      <c r="F19" t="s">
        <v>285</v>
      </c>
      <c r="G19" t="str">
        <f t="shared" si="0"/>
        <v>Y</v>
      </c>
      <c r="H19" t="str">
        <f t="shared" si="1"/>
        <v>Nokia</v>
      </c>
      <c r="I19">
        <v>9981200017</v>
      </c>
    </row>
    <row r="20" spans="1:9" x14ac:dyDescent="0.3">
      <c r="A20" t="s">
        <v>25</v>
      </c>
      <c r="B20" t="s">
        <v>277</v>
      </c>
      <c r="C20">
        <v>23</v>
      </c>
      <c r="D20" t="s">
        <v>284</v>
      </c>
      <c r="F20" t="s">
        <v>285</v>
      </c>
      <c r="G20" t="str">
        <f t="shared" si="0"/>
        <v>Y</v>
      </c>
      <c r="H20" t="str">
        <f t="shared" si="1"/>
        <v>Volcano</v>
      </c>
      <c r="I20">
        <v>9981200018</v>
      </c>
    </row>
    <row r="21" spans="1:9" x14ac:dyDescent="0.3">
      <c r="A21" t="s">
        <v>26</v>
      </c>
      <c r="B21" t="s">
        <v>278</v>
      </c>
      <c r="C21">
        <v>24</v>
      </c>
      <c r="D21" t="s">
        <v>284</v>
      </c>
      <c r="F21" t="s">
        <v>286</v>
      </c>
      <c r="G21" t="str">
        <f t="shared" si="0"/>
        <v>N</v>
      </c>
      <c r="H21" t="str">
        <f t="shared" si="1"/>
        <v>Volcano</v>
      </c>
      <c r="I21">
        <v>9981200019</v>
      </c>
    </row>
    <row r="22" spans="1:9" x14ac:dyDescent="0.3">
      <c r="A22" t="s">
        <v>27</v>
      </c>
      <c r="B22" t="s">
        <v>279</v>
      </c>
      <c r="C22">
        <v>25</v>
      </c>
      <c r="D22" t="s">
        <v>283</v>
      </c>
      <c r="F22" t="s">
        <v>286</v>
      </c>
      <c r="G22" t="str">
        <f t="shared" si="0"/>
        <v>N</v>
      </c>
      <c r="H22" t="str">
        <f t="shared" si="1"/>
        <v>Volcano</v>
      </c>
      <c r="I22">
        <v>9981200020</v>
      </c>
    </row>
    <row r="23" spans="1:9" x14ac:dyDescent="0.3">
      <c r="A23" t="s">
        <v>28</v>
      </c>
      <c r="B23" t="s">
        <v>280</v>
      </c>
      <c r="C23">
        <v>26</v>
      </c>
      <c r="D23" t="s">
        <v>284</v>
      </c>
      <c r="F23" t="s">
        <v>285</v>
      </c>
      <c r="G23" t="str">
        <f t="shared" si="0"/>
        <v>Y</v>
      </c>
      <c r="H23" t="str">
        <f t="shared" si="1"/>
        <v>Nokia</v>
      </c>
      <c r="I23">
        <v>9981200021</v>
      </c>
    </row>
    <row r="24" spans="1:9" x14ac:dyDescent="0.3">
      <c r="A24" t="s">
        <v>29</v>
      </c>
      <c r="B24" t="s">
        <v>281</v>
      </c>
      <c r="C24">
        <v>28</v>
      </c>
      <c r="D24" t="s">
        <v>284</v>
      </c>
      <c r="F24" t="s">
        <v>285</v>
      </c>
      <c r="G24" t="str">
        <f t="shared" si="0"/>
        <v>Y</v>
      </c>
      <c r="H24" t="str">
        <f t="shared" si="1"/>
        <v>Nokia</v>
      </c>
      <c r="I24">
        <v>9981200022</v>
      </c>
    </row>
    <row r="25" spans="1:9" x14ac:dyDescent="0.3">
      <c r="A25" t="s">
        <v>30</v>
      </c>
      <c r="B25" t="s">
        <v>282</v>
      </c>
      <c r="C25">
        <v>28</v>
      </c>
      <c r="D25" t="s">
        <v>284</v>
      </c>
      <c r="F25" t="s">
        <v>286</v>
      </c>
      <c r="G25" t="str">
        <f t="shared" si="0"/>
        <v>N</v>
      </c>
      <c r="H25" t="str">
        <f t="shared" si="1"/>
        <v>Nokia</v>
      </c>
      <c r="I25">
        <v>9981200023</v>
      </c>
    </row>
    <row r="26" spans="1:9" x14ac:dyDescent="0.3">
      <c r="A26" t="s">
        <v>31</v>
      </c>
      <c r="B26" t="s">
        <v>259</v>
      </c>
      <c r="C26">
        <v>25</v>
      </c>
      <c r="D26" t="s">
        <v>283</v>
      </c>
      <c r="F26" t="s">
        <v>285</v>
      </c>
      <c r="G26" t="str">
        <f t="shared" si="0"/>
        <v>Y</v>
      </c>
      <c r="H26" t="str">
        <f t="shared" si="1"/>
        <v>Volcano</v>
      </c>
      <c r="I26">
        <v>9981200024</v>
      </c>
    </row>
    <row r="27" spans="1:9" x14ac:dyDescent="0.3">
      <c r="A27" t="s">
        <v>32</v>
      </c>
      <c r="B27" t="s">
        <v>260</v>
      </c>
      <c r="C27">
        <v>25</v>
      </c>
      <c r="D27" t="s">
        <v>283</v>
      </c>
      <c r="F27" t="s">
        <v>285</v>
      </c>
      <c r="G27" t="str">
        <f t="shared" si="0"/>
        <v>Y</v>
      </c>
      <c r="H27" t="str">
        <f t="shared" si="1"/>
        <v>Volcano</v>
      </c>
      <c r="I27">
        <v>9981200025</v>
      </c>
    </row>
    <row r="28" spans="1:9" x14ac:dyDescent="0.3">
      <c r="A28" t="s">
        <v>33</v>
      </c>
      <c r="B28" t="s">
        <v>261</v>
      </c>
      <c r="C28">
        <v>26</v>
      </c>
      <c r="D28" t="s">
        <v>284</v>
      </c>
      <c r="F28" t="s">
        <v>286</v>
      </c>
      <c r="G28" t="str">
        <f t="shared" si="0"/>
        <v>N</v>
      </c>
      <c r="H28" t="str">
        <f t="shared" si="1"/>
        <v>Nokia</v>
      </c>
      <c r="I28">
        <v>9981200026</v>
      </c>
    </row>
    <row r="29" spans="1:9" x14ac:dyDescent="0.3">
      <c r="A29" t="s">
        <v>34</v>
      </c>
      <c r="B29" t="s">
        <v>262</v>
      </c>
      <c r="C29">
        <v>28</v>
      </c>
      <c r="D29" t="s">
        <v>283</v>
      </c>
      <c r="F29" t="s">
        <v>285</v>
      </c>
      <c r="G29" t="str">
        <f t="shared" si="0"/>
        <v>Y</v>
      </c>
      <c r="H29" t="str">
        <f t="shared" si="1"/>
        <v>Nokia</v>
      </c>
      <c r="I29">
        <v>9981200027</v>
      </c>
    </row>
    <row r="30" spans="1:9" x14ac:dyDescent="0.3">
      <c r="A30" t="s">
        <v>35</v>
      </c>
      <c r="B30" t="s">
        <v>263</v>
      </c>
      <c r="C30">
        <v>28</v>
      </c>
      <c r="D30" t="s">
        <v>284</v>
      </c>
      <c r="F30" t="s">
        <v>285</v>
      </c>
      <c r="G30" t="str">
        <f t="shared" si="0"/>
        <v>Y</v>
      </c>
      <c r="H30" t="str">
        <f t="shared" si="1"/>
        <v>Nokia</v>
      </c>
      <c r="I30">
        <v>9981200028</v>
      </c>
    </row>
    <row r="31" spans="1:9" x14ac:dyDescent="0.3">
      <c r="A31" t="s">
        <v>36</v>
      </c>
      <c r="B31" t="s">
        <v>264</v>
      </c>
      <c r="C31">
        <v>27</v>
      </c>
      <c r="D31" t="s">
        <v>283</v>
      </c>
      <c r="F31" t="s">
        <v>285</v>
      </c>
      <c r="G31" t="str">
        <f t="shared" si="0"/>
        <v>Y</v>
      </c>
      <c r="H31" t="str">
        <f t="shared" si="1"/>
        <v>Nokia</v>
      </c>
      <c r="I31">
        <v>9981200029</v>
      </c>
    </row>
    <row r="32" spans="1:9" x14ac:dyDescent="0.3">
      <c r="A32" t="s">
        <v>37</v>
      </c>
      <c r="B32" t="s">
        <v>265</v>
      </c>
      <c r="C32">
        <v>24</v>
      </c>
      <c r="D32" t="s">
        <v>283</v>
      </c>
      <c r="F32" t="s">
        <v>285</v>
      </c>
      <c r="G32" t="str">
        <f t="shared" si="0"/>
        <v>Y</v>
      </c>
      <c r="H32" t="str">
        <f t="shared" si="1"/>
        <v>Volcano</v>
      </c>
      <c r="I32">
        <v>9981200030</v>
      </c>
    </row>
    <row r="33" spans="1:9" x14ac:dyDescent="0.3">
      <c r="A33" t="s">
        <v>38</v>
      </c>
      <c r="B33" t="s">
        <v>266</v>
      </c>
      <c r="C33">
        <v>25</v>
      </c>
      <c r="D33" t="s">
        <v>283</v>
      </c>
      <c r="F33" t="s">
        <v>285</v>
      </c>
      <c r="G33" t="str">
        <f t="shared" si="0"/>
        <v>Y</v>
      </c>
      <c r="H33" t="str">
        <f t="shared" si="1"/>
        <v>Volcano</v>
      </c>
      <c r="I33">
        <v>9981200031</v>
      </c>
    </row>
    <row r="34" spans="1:9" x14ac:dyDescent="0.3">
      <c r="A34" t="s">
        <v>39</v>
      </c>
      <c r="B34" t="s">
        <v>267</v>
      </c>
      <c r="C34">
        <v>27</v>
      </c>
      <c r="D34" t="s">
        <v>284</v>
      </c>
      <c r="F34" t="s">
        <v>286</v>
      </c>
      <c r="G34" t="str">
        <f t="shared" si="0"/>
        <v>N</v>
      </c>
      <c r="H34" t="str">
        <f t="shared" si="1"/>
        <v>Nokia</v>
      </c>
      <c r="I34">
        <v>9981200032</v>
      </c>
    </row>
    <row r="35" spans="1:9" x14ac:dyDescent="0.3">
      <c r="A35" t="s">
        <v>40</v>
      </c>
      <c r="B35" t="s">
        <v>268</v>
      </c>
      <c r="C35">
        <v>23</v>
      </c>
      <c r="D35" t="s">
        <v>283</v>
      </c>
      <c r="F35" t="s">
        <v>286</v>
      </c>
      <c r="G35" t="str">
        <f t="shared" si="0"/>
        <v>N</v>
      </c>
      <c r="H35" t="str">
        <f t="shared" si="1"/>
        <v>Volcano</v>
      </c>
      <c r="I35">
        <v>9981200033</v>
      </c>
    </row>
    <row r="36" spans="1:9" x14ac:dyDescent="0.3">
      <c r="A36" t="s">
        <v>41</v>
      </c>
      <c r="B36" t="s">
        <v>269</v>
      </c>
      <c r="C36">
        <v>24</v>
      </c>
      <c r="D36" t="s">
        <v>283</v>
      </c>
      <c r="F36" t="s">
        <v>286</v>
      </c>
      <c r="G36" t="str">
        <f t="shared" si="0"/>
        <v>N</v>
      </c>
      <c r="H36" t="str">
        <f t="shared" si="1"/>
        <v>Volcano</v>
      </c>
      <c r="I36">
        <v>9981200034</v>
      </c>
    </row>
    <row r="37" spans="1:9" x14ac:dyDescent="0.3">
      <c r="A37" t="s">
        <v>42</v>
      </c>
      <c r="B37" t="s">
        <v>270</v>
      </c>
      <c r="C37">
        <v>25</v>
      </c>
      <c r="D37" t="s">
        <v>283</v>
      </c>
      <c r="F37" t="s">
        <v>286</v>
      </c>
      <c r="G37" t="str">
        <f t="shared" si="0"/>
        <v>N</v>
      </c>
      <c r="H37" t="str">
        <f t="shared" si="1"/>
        <v>Volcano</v>
      </c>
      <c r="I37">
        <v>9981200035</v>
      </c>
    </row>
    <row r="38" spans="1:9" x14ac:dyDescent="0.3">
      <c r="A38" t="s">
        <v>43</v>
      </c>
      <c r="B38" t="s">
        <v>271</v>
      </c>
      <c r="C38">
        <v>27</v>
      </c>
      <c r="D38" t="s">
        <v>283</v>
      </c>
      <c r="F38" t="s">
        <v>285</v>
      </c>
      <c r="G38" t="str">
        <f t="shared" si="0"/>
        <v>Y</v>
      </c>
      <c r="H38" t="str">
        <f t="shared" si="1"/>
        <v>Nokia</v>
      </c>
      <c r="I38">
        <v>9981200036</v>
      </c>
    </row>
    <row r="39" spans="1:9" x14ac:dyDescent="0.3">
      <c r="A39" t="s">
        <v>44</v>
      </c>
      <c r="B39" t="s">
        <v>272</v>
      </c>
      <c r="C39">
        <v>23</v>
      </c>
      <c r="D39" t="s">
        <v>284</v>
      </c>
      <c r="F39" t="s">
        <v>285</v>
      </c>
      <c r="G39" t="str">
        <f t="shared" si="0"/>
        <v>Y</v>
      </c>
      <c r="H39" t="str">
        <f t="shared" si="1"/>
        <v>Volcano</v>
      </c>
      <c r="I39">
        <v>9981200037</v>
      </c>
    </row>
    <row r="40" spans="1:9" x14ac:dyDescent="0.3">
      <c r="A40" t="s">
        <v>45</v>
      </c>
      <c r="B40" t="s">
        <v>273</v>
      </c>
      <c r="C40">
        <v>24</v>
      </c>
      <c r="D40" t="s">
        <v>284</v>
      </c>
      <c r="F40" t="s">
        <v>286</v>
      </c>
      <c r="G40" t="str">
        <f t="shared" si="0"/>
        <v>N</v>
      </c>
      <c r="H40" t="str">
        <f t="shared" si="1"/>
        <v>Volcano</v>
      </c>
      <c r="I40">
        <v>9981200038</v>
      </c>
    </row>
    <row r="41" spans="1:9" x14ac:dyDescent="0.3">
      <c r="A41" t="s">
        <v>46</v>
      </c>
      <c r="B41" t="s">
        <v>274</v>
      </c>
      <c r="C41">
        <v>25</v>
      </c>
      <c r="D41" t="s">
        <v>284</v>
      </c>
      <c r="F41" t="s">
        <v>286</v>
      </c>
      <c r="G41" t="str">
        <f t="shared" si="0"/>
        <v>N</v>
      </c>
      <c r="H41" t="str">
        <f t="shared" si="1"/>
        <v>Volcano</v>
      </c>
      <c r="I41">
        <v>9981200039</v>
      </c>
    </row>
    <row r="42" spans="1:9" x14ac:dyDescent="0.3">
      <c r="A42" t="s">
        <v>47</v>
      </c>
      <c r="B42" t="s">
        <v>275</v>
      </c>
      <c r="C42">
        <v>26</v>
      </c>
      <c r="D42" t="s">
        <v>284</v>
      </c>
      <c r="F42" t="s">
        <v>286</v>
      </c>
      <c r="G42" t="str">
        <f t="shared" si="0"/>
        <v>N</v>
      </c>
      <c r="H42" t="str">
        <f t="shared" si="1"/>
        <v>Nokia</v>
      </c>
      <c r="I42">
        <v>9981200040</v>
      </c>
    </row>
    <row r="43" spans="1:9" x14ac:dyDescent="0.3">
      <c r="A43" t="s">
        <v>48</v>
      </c>
      <c r="B43" t="s">
        <v>276</v>
      </c>
      <c r="C43">
        <v>28</v>
      </c>
      <c r="D43" t="s">
        <v>283</v>
      </c>
      <c r="F43" t="s">
        <v>285</v>
      </c>
      <c r="G43" t="str">
        <f t="shared" si="0"/>
        <v>Y</v>
      </c>
      <c r="H43" t="str">
        <f t="shared" si="1"/>
        <v>Nokia</v>
      </c>
      <c r="I43">
        <v>9981200041</v>
      </c>
    </row>
    <row r="44" spans="1:9" x14ac:dyDescent="0.3">
      <c r="A44" t="s">
        <v>49</v>
      </c>
      <c r="B44" t="s">
        <v>277</v>
      </c>
      <c r="C44">
        <v>28</v>
      </c>
      <c r="D44" t="s">
        <v>284</v>
      </c>
      <c r="F44" t="s">
        <v>285</v>
      </c>
      <c r="G44" t="str">
        <f t="shared" si="0"/>
        <v>Y</v>
      </c>
      <c r="H44" t="str">
        <f t="shared" si="1"/>
        <v>Nokia</v>
      </c>
      <c r="I44">
        <v>9981200042</v>
      </c>
    </row>
    <row r="45" spans="1:9" x14ac:dyDescent="0.3">
      <c r="A45" t="s">
        <v>50</v>
      </c>
      <c r="B45" t="s">
        <v>278</v>
      </c>
      <c r="C45">
        <v>28</v>
      </c>
      <c r="D45" t="s">
        <v>284</v>
      </c>
      <c r="F45" t="s">
        <v>286</v>
      </c>
      <c r="G45" t="str">
        <f t="shared" si="0"/>
        <v>N</v>
      </c>
      <c r="H45" t="str">
        <f t="shared" si="1"/>
        <v>Nokia</v>
      </c>
      <c r="I45">
        <v>9981200043</v>
      </c>
    </row>
    <row r="46" spans="1:9" x14ac:dyDescent="0.3">
      <c r="A46" t="s">
        <v>51</v>
      </c>
      <c r="B46" t="s">
        <v>279</v>
      </c>
      <c r="C46">
        <v>28</v>
      </c>
      <c r="D46" t="s">
        <v>283</v>
      </c>
      <c r="F46" t="s">
        <v>286</v>
      </c>
      <c r="G46" t="str">
        <f t="shared" si="0"/>
        <v>N</v>
      </c>
      <c r="H46" t="str">
        <f t="shared" si="1"/>
        <v>Nokia</v>
      </c>
      <c r="I46">
        <v>9981200044</v>
      </c>
    </row>
    <row r="47" spans="1:9" x14ac:dyDescent="0.3">
      <c r="A47" t="s">
        <v>52</v>
      </c>
      <c r="B47" t="s">
        <v>280</v>
      </c>
      <c r="C47">
        <v>28</v>
      </c>
      <c r="D47" t="s">
        <v>284</v>
      </c>
      <c r="F47" t="s">
        <v>285</v>
      </c>
      <c r="G47" t="str">
        <f t="shared" si="0"/>
        <v>Y</v>
      </c>
      <c r="H47" t="str">
        <f t="shared" si="1"/>
        <v>Nokia</v>
      </c>
      <c r="I47">
        <v>9981200045</v>
      </c>
    </row>
    <row r="48" spans="1:9" x14ac:dyDescent="0.3">
      <c r="A48" t="s">
        <v>53</v>
      </c>
      <c r="B48" t="s">
        <v>281</v>
      </c>
      <c r="C48">
        <v>28</v>
      </c>
      <c r="D48" t="s">
        <v>284</v>
      </c>
      <c r="F48" t="s">
        <v>285</v>
      </c>
      <c r="G48" t="str">
        <f t="shared" si="0"/>
        <v>Y</v>
      </c>
      <c r="H48" t="str">
        <f t="shared" si="1"/>
        <v>Nokia</v>
      </c>
      <c r="I48">
        <v>9981200046</v>
      </c>
    </row>
    <row r="49" spans="1:9" x14ac:dyDescent="0.3">
      <c r="A49" t="s">
        <v>54</v>
      </c>
      <c r="B49" t="s">
        <v>282</v>
      </c>
      <c r="C49">
        <v>28</v>
      </c>
      <c r="D49" t="s">
        <v>284</v>
      </c>
      <c r="F49" t="s">
        <v>286</v>
      </c>
      <c r="G49" t="str">
        <f t="shared" si="0"/>
        <v>N</v>
      </c>
      <c r="H49" t="str">
        <f t="shared" si="1"/>
        <v>Nokia</v>
      </c>
      <c r="I49">
        <v>9981200047</v>
      </c>
    </row>
    <row r="50" spans="1:9" x14ac:dyDescent="0.3">
      <c r="A50" t="s">
        <v>55</v>
      </c>
      <c r="B50" t="s">
        <v>259</v>
      </c>
      <c r="C50">
        <v>25</v>
      </c>
      <c r="D50" t="s">
        <v>283</v>
      </c>
      <c r="F50" t="s">
        <v>285</v>
      </c>
      <c r="G50" t="str">
        <f t="shared" si="0"/>
        <v>Y</v>
      </c>
      <c r="H50" t="str">
        <f t="shared" si="1"/>
        <v>Volcano</v>
      </c>
      <c r="I50">
        <v>9981200048</v>
      </c>
    </row>
    <row r="51" spans="1:9" x14ac:dyDescent="0.3">
      <c r="A51" t="s">
        <v>56</v>
      </c>
      <c r="B51" t="s">
        <v>260</v>
      </c>
      <c r="C51">
        <v>27</v>
      </c>
      <c r="D51" t="s">
        <v>283</v>
      </c>
      <c r="F51" t="s">
        <v>285</v>
      </c>
      <c r="G51" t="str">
        <f t="shared" si="0"/>
        <v>Y</v>
      </c>
      <c r="H51" t="str">
        <f t="shared" si="1"/>
        <v>Nokia</v>
      </c>
      <c r="I51">
        <v>9981200049</v>
      </c>
    </row>
    <row r="52" spans="1:9" x14ac:dyDescent="0.3">
      <c r="A52" t="s">
        <v>57</v>
      </c>
      <c r="B52" t="s">
        <v>261</v>
      </c>
      <c r="C52">
        <v>23</v>
      </c>
      <c r="D52" t="s">
        <v>284</v>
      </c>
      <c r="F52" t="s">
        <v>286</v>
      </c>
      <c r="G52" t="str">
        <f t="shared" si="0"/>
        <v>N</v>
      </c>
      <c r="H52" t="str">
        <f t="shared" si="1"/>
        <v>Volcano</v>
      </c>
      <c r="I52">
        <v>9981200050</v>
      </c>
    </row>
    <row r="53" spans="1:9" x14ac:dyDescent="0.3">
      <c r="A53" t="s">
        <v>58</v>
      </c>
      <c r="B53" t="s">
        <v>262</v>
      </c>
      <c r="C53">
        <v>24</v>
      </c>
      <c r="D53" t="s">
        <v>283</v>
      </c>
      <c r="F53" t="s">
        <v>285</v>
      </c>
      <c r="G53" t="str">
        <f t="shared" si="0"/>
        <v>Y</v>
      </c>
      <c r="H53" t="str">
        <f t="shared" si="1"/>
        <v>Volcano</v>
      </c>
      <c r="I53">
        <v>9981200051</v>
      </c>
    </row>
    <row r="54" spans="1:9" x14ac:dyDescent="0.3">
      <c r="A54" t="s">
        <v>59</v>
      </c>
      <c r="B54" t="s">
        <v>263</v>
      </c>
      <c r="C54">
        <v>25</v>
      </c>
      <c r="D54" t="s">
        <v>284</v>
      </c>
      <c r="F54" t="s">
        <v>285</v>
      </c>
      <c r="G54" t="str">
        <f t="shared" si="0"/>
        <v>Y</v>
      </c>
      <c r="H54" t="str">
        <f t="shared" si="1"/>
        <v>Volcano</v>
      </c>
      <c r="I54">
        <v>9981200052</v>
      </c>
    </row>
    <row r="55" spans="1:9" x14ac:dyDescent="0.3">
      <c r="A55" t="s">
        <v>60</v>
      </c>
      <c r="B55" t="s">
        <v>264</v>
      </c>
      <c r="C55">
        <v>27</v>
      </c>
      <c r="D55" t="s">
        <v>283</v>
      </c>
      <c r="F55" t="s">
        <v>285</v>
      </c>
      <c r="G55" t="str">
        <f t="shared" si="0"/>
        <v>Y</v>
      </c>
      <c r="H55" t="str">
        <f t="shared" si="1"/>
        <v>Nokia</v>
      </c>
      <c r="I55">
        <v>9981200053</v>
      </c>
    </row>
    <row r="56" spans="1:9" x14ac:dyDescent="0.3">
      <c r="A56" t="s">
        <v>61</v>
      </c>
      <c r="B56" t="s">
        <v>265</v>
      </c>
      <c r="C56">
        <v>23</v>
      </c>
      <c r="D56" t="s">
        <v>283</v>
      </c>
      <c r="F56" t="s">
        <v>285</v>
      </c>
      <c r="G56" t="str">
        <f t="shared" si="0"/>
        <v>Y</v>
      </c>
      <c r="H56" t="str">
        <f t="shared" si="1"/>
        <v>Volcano</v>
      </c>
      <c r="I56">
        <v>9981200054</v>
      </c>
    </row>
    <row r="57" spans="1:9" x14ac:dyDescent="0.3">
      <c r="A57" t="s">
        <v>62</v>
      </c>
      <c r="B57" t="s">
        <v>266</v>
      </c>
      <c r="C57">
        <v>24</v>
      </c>
      <c r="D57" t="s">
        <v>283</v>
      </c>
      <c r="F57" t="s">
        <v>285</v>
      </c>
      <c r="G57" t="str">
        <f t="shared" si="0"/>
        <v>Y</v>
      </c>
      <c r="H57" t="str">
        <f t="shared" si="1"/>
        <v>Volcano</v>
      </c>
      <c r="I57">
        <v>9981200055</v>
      </c>
    </row>
    <row r="58" spans="1:9" x14ac:dyDescent="0.3">
      <c r="A58" t="s">
        <v>63</v>
      </c>
      <c r="B58" t="s">
        <v>267</v>
      </c>
      <c r="C58">
        <v>25</v>
      </c>
      <c r="D58" t="s">
        <v>284</v>
      </c>
      <c r="F58" t="s">
        <v>286</v>
      </c>
      <c r="G58" t="str">
        <f t="shared" si="0"/>
        <v>N</v>
      </c>
      <c r="H58" t="str">
        <f t="shared" si="1"/>
        <v>Volcano</v>
      </c>
      <c r="I58">
        <v>9981200056</v>
      </c>
    </row>
    <row r="59" spans="1:9" x14ac:dyDescent="0.3">
      <c r="A59" t="s">
        <v>64</v>
      </c>
      <c r="B59" t="s">
        <v>268</v>
      </c>
      <c r="C59">
        <v>26</v>
      </c>
      <c r="D59" t="s">
        <v>283</v>
      </c>
      <c r="F59" t="s">
        <v>286</v>
      </c>
      <c r="G59" t="str">
        <f t="shared" si="0"/>
        <v>N</v>
      </c>
      <c r="H59" t="str">
        <f t="shared" si="1"/>
        <v>Nokia</v>
      </c>
      <c r="I59">
        <v>9981200057</v>
      </c>
    </row>
    <row r="60" spans="1:9" x14ac:dyDescent="0.3">
      <c r="A60" t="s">
        <v>65</v>
      </c>
      <c r="B60" t="s">
        <v>269</v>
      </c>
      <c r="C60">
        <v>28</v>
      </c>
      <c r="D60" t="s">
        <v>283</v>
      </c>
      <c r="F60" t="s">
        <v>286</v>
      </c>
      <c r="G60" t="str">
        <f t="shared" si="0"/>
        <v>N</v>
      </c>
      <c r="H60" t="str">
        <f t="shared" si="1"/>
        <v>Nokia</v>
      </c>
      <c r="I60">
        <v>9981200058</v>
      </c>
    </row>
    <row r="61" spans="1:9" x14ac:dyDescent="0.3">
      <c r="A61" t="s">
        <v>66</v>
      </c>
      <c r="B61" t="s">
        <v>270</v>
      </c>
      <c r="C61">
        <v>28</v>
      </c>
      <c r="D61" t="s">
        <v>283</v>
      </c>
      <c r="F61" t="s">
        <v>286</v>
      </c>
      <c r="G61" t="str">
        <f t="shared" si="0"/>
        <v>N</v>
      </c>
      <c r="H61" t="str">
        <f t="shared" si="1"/>
        <v>Nokia</v>
      </c>
      <c r="I61">
        <v>9981200059</v>
      </c>
    </row>
    <row r="62" spans="1:9" x14ac:dyDescent="0.3">
      <c r="A62" t="s">
        <v>67</v>
      </c>
      <c r="B62" t="s">
        <v>271</v>
      </c>
      <c r="C62">
        <v>28</v>
      </c>
      <c r="D62" t="s">
        <v>283</v>
      </c>
      <c r="F62" t="s">
        <v>285</v>
      </c>
      <c r="G62" t="str">
        <f t="shared" si="0"/>
        <v>Y</v>
      </c>
      <c r="H62" t="str">
        <f t="shared" si="1"/>
        <v>Nokia</v>
      </c>
      <c r="I62">
        <v>9981200060</v>
      </c>
    </row>
    <row r="63" spans="1:9" x14ac:dyDescent="0.3">
      <c r="A63" t="s">
        <v>68</v>
      </c>
      <c r="B63" t="s">
        <v>272</v>
      </c>
      <c r="C63">
        <v>28</v>
      </c>
      <c r="D63" t="s">
        <v>284</v>
      </c>
      <c r="F63" t="s">
        <v>285</v>
      </c>
      <c r="G63" t="str">
        <f t="shared" si="0"/>
        <v>Y</v>
      </c>
      <c r="H63" t="str">
        <f t="shared" si="1"/>
        <v>Nokia</v>
      </c>
      <c r="I63">
        <v>9981200061</v>
      </c>
    </row>
    <row r="64" spans="1:9" x14ac:dyDescent="0.3">
      <c r="A64" t="s">
        <v>69</v>
      </c>
      <c r="B64" t="s">
        <v>273</v>
      </c>
      <c r="C64">
        <v>28</v>
      </c>
      <c r="D64" t="s">
        <v>284</v>
      </c>
      <c r="F64" t="s">
        <v>286</v>
      </c>
      <c r="G64" t="str">
        <f t="shared" si="0"/>
        <v>N</v>
      </c>
      <c r="H64" t="str">
        <f t="shared" si="1"/>
        <v>Nokia</v>
      </c>
      <c r="I64">
        <v>9981200062</v>
      </c>
    </row>
    <row r="65" spans="1:9" x14ac:dyDescent="0.3">
      <c r="A65" t="s">
        <v>70</v>
      </c>
      <c r="B65" t="s">
        <v>274</v>
      </c>
      <c r="C65">
        <v>28</v>
      </c>
      <c r="D65" t="s">
        <v>284</v>
      </c>
      <c r="F65" t="s">
        <v>286</v>
      </c>
      <c r="G65" t="str">
        <f t="shared" si="0"/>
        <v>N</v>
      </c>
      <c r="H65" t="str">
        <f t="shared" si="1"/>
        <v>Nokia</v>
      </c>
      <c r="I65">
        <v>9981200063</v>
      </c>
    </row>
    <row r="66" spans="1:9" x14ac:dyDescent="0.3">
      <c r="A66" t="s">
        <v>71</v>
      </c>
      <c r="B66" t="s">
        <v>275</v>
      </c>
      <c r="C66">
        <v>28</v>
      </c>
      <c r="D66" t="s">
        <v>284</v>
      </c>
      <c r="F66" t="s">
        <v>286</v>
      </c>
      <c r="G66" t="str">
        <f t="shared" si="0"/>
        <v>N</v>
      </c>
      <c r="H66" t="str">
        <f t="shared" si="1"/>
        <v>Nokia</v>
      </c>
      <c r="I66">
        <v>9981200064</v>
      </c>
    </row>
    <row r="67" spans="1:9" x14ac:dyDescent="0.3">
      <c r="A67" t="s">
        <v>72</v>
      </c>
      <c r="B67" t="s">
        <v>276</v>
      </c>
      <c r="C67">
        <v>28</v>
      </c>
      <c r="D67" t="s">
        <v>283</v>
      </c>
      <c r="F67" t="s">
        <v>285</v>
      </c>
      <c r="G67" t="str">
        <f t="shared" ref="G67:G130" si="2">IF(F67="Paid","Y","N")</f>
        <v>Y</v>
      </c>
      <c r="H67" t="str">
        <f t="shared" ref="H67:H130" si="3">IF(C67&lt;23,"Aircel",IF(C67&lt;26,"Volcano","Nokia"))</f>
        <v>Nokia</v>
      </c>
      <c r="I67">
        <v>9981200065</v>
      </c>
    </row>
    <row r="68" spans="1:9" x14ac:dyDescent="0.3">
      <c r="A68" t="s">
        <v>73</v>
      </c>
      <c r="B68" t="s">
        <v>277</v>
      </c>
      <c r="C68">
        <v>28</v>
      </c>
      <c r="D68" t="s">
        <v>284</v>
      </c>
      <c r="F68" t="s">
        <v>285</v>
      </c>
      <c r="G68" t="str">
        <f t="shared" si="2"/>
        <v>Y</v>
      </c>
      <c r="H68" t="str">
        <f t="shared" si="3"/>
        <v>Nokia</v>
      </c>
      <c r="I68">
        <v>9981200066</v>
      </c>
    </row>
    <row r="69" spans="1:9" x14ac:dyDescent="0.3">
      <c r="A69" t="s">
        <v>74</v>
      </c>
      <c r="B69" t="s">
        <v>278</v>
      </c>
      <c r="C69">
        <v>28</v>
      </c>
      <c r="D69" t="s">
        <v>284</v>
      </c>
      <c r="F69" t="s">
        <v>286</v>
      </c>
      <c r="G69" t="str">
        <f t="shared" si="2"/>
        <v>N</v>
      </c>
      <c r="H69" t="str">
        <f t="shared" si="3"/>
        <v>Nokia</v>
      </c>
      <c r="I69">
        <v>9981200067</v>
      </c>
    </row>
    <row r="70" spans="1:9" x14ac:dyDescent="0.3">
      <c r="A70" t="s">
        <v>75</v>
      </c>
      <c r="B70" t="s">
        <v>279</v>
      </c>
      <c r="C70">
        <v>25</v>
      </c>
      <c r="D70" t="s">
        <v>283</v>
      </c>
      <c r="F70" t="s">
        <v>286</v>
      </c>
      <c r="G70" t="str">
        <f t="shared" si="2"/>
        <v>N</v>
      </c>
      <c r="H70" t="str">
        <f t="shared" si="3"/>
        <v>Volcano</v>
      </c>
      <c r="I70">
        <v>9981200068</v>
      </c>
    </row>
    <row r="71" spans="1:9" x14ac:dyDescent="0.3">
      <c r="A71" t="s">
        <v>76</v>
      </c>
      <c r="B71" t="s">
        <v>280</v>
      </c>
      <c r="C71">
        <v>27</v>
      </c>
      <c r="D71" t="s">
        <v>284</v>
      </c>
      <c r="F71" t="s">
        <v>285</v>
      </c>
      <c r="G71" t="str">
        <f t="shared" si="2"/>
        <v>Y</v>
      </c>
      <c r="H71" t="str">
        <f t="shared" si="3"/>
        <v>Nokia</v>
      </c>
      <c r="I71">
        <v>9981200069</v>
      </c>
    </row>
    <row r="72" spans="1:9" x14ac:dyDescent="0.3">
      <c r="A72" t="s">
        <v>77</v>
      </c>
      <c r="B72" t="s">
        <v>281</v>
      </c>
      <c r="C72">
        <v>23</v>
      </c>
      <c r="D72" t="s">
        <v>284</v>
      </c>
      <c r="F72" t="s">
        <v>285</v>
      </c>
      <c r="G72" t="str">
        <f t="shared" si="2"/>
        <v>Y</v>
      </c>
      <c r="H72" t="str">
        <f t="shared" si="3"/>
        <v>Volcano</v>
      </c>
      <c r="I72">
        <v>9981200070</v>
      </c>
    </row>
    <row r="73" spans="1:9" x14ac:dyDescent="0.3">
      <c r="A73" t="s">
        <v>78</v>
      </c>
      <c r="B73" t="s">
        <v>282</v>
      </c>
      <c r="C73">
        <v>24</v>
      </c>
      <c r="D73" t="s">
        <v>284</v>
      </c>
      <c r="F73" t="s">
        <v>286</v>
      </c>
      <c r="G73" t="str">
        <f t="shared" si="2"/>
        <v>N</v>
      </c>
      <c r="H73" t="str">
        <f t="shared" si="3"/>
        <v>Volcano</v>
      </c>
      <c r="I73">
        <v>9981200071</v>
      </c>
    </row>
    <row r="74" spans="1:9" x14ac:dyDescent="0.3">
      <c r="A74" t="s">
        <v>79</v>
      </c>
      <c r="B74" t="s">
        <v>259</v>
      </c>
      <c r="C74">
        <v>25</v>
      </c>
      <c r="D74" t="s">
        <v>283</v>
      </c>
      <c r="F74" t="s">
        <v>285</v>
      </c>
      <c r="G74" t="str">
        <f t="shared" si="2"/>
        <v>Y</v>
      </c>
      <c r="H74" t="str">
        <f t="shared" si="3"/>
        <v>Volcano</v>
      </c>
      <c r="I74">
        <v>9981200072</v>
      </c>
    </row>
    <row r="75" spans="1:9" x14ac:dyDescent="0.3">
      <c r="A75" t="s">
        <v>80</v>
      </c>
      <c r="B75" t="s">
        <v>260</v>
      </c>
      <c r="C75">
        <v>27</v>
      </c>
      <c r="D75" t="s">
        <v>283</v>
      </c>
      <c r="F75" t="s">
        <v>285</v>
      </c>
      <c r="G75" t="str">
        <f t="shared" si="2"/>
        <v>Y</v>
      </c>
      <c r="H75" t="str">
        <f t="shared" si="3"/>
        <v>Nokia</v>
      </c>
      <c r="I75">
        <v>9981200073</v>
      </c>
    </row>
    <row r="76" spans="1:9" x14ac:dyDescent="0.3">
      <c r="A76" t="s">
        <v>81</v>
      </c>
      <c r="B76" t="s">
        <v>261</v>
      </c>
      <c r="C76">
        <v>27</v>
      </c>
      <c r="D76" t="s">
        <v>284</v>
      </c>
      <c r="F76" t="s">
        <v>286</v>
      </c>
      <c r="G76" t="str">
        <f t="shared" si="2"/>
        <v>N</v>
      </c>
      <c r="H76" t="str">
        <f t="shared" si="3"/>
        <v>Nokia</v>
      </c>
      <c r="I76">
        <v>9981200074</v>
      </c>
    </row>
    <row r="77" spans="1:9" x14ac:dyDescent="0.3">
      <c r="A77" t="s">
        <v>82</v>
      </c>
      <c r="B77" t="s">
        <v>262</v>
      </c>
      <c r="C77">
        <v>24</v>
      </c>
      <c r="D77" t="s">
        <v>283</v>
      </c>
      <c r="F77" t="s">
        <v>285</v>
      </c>
      <c r="G77" t="str">
        <f t="shared" si="2"/>
        <v>Y</v>
      </c>
      <c r="H77" t="str">
        <f t="shared" si="3"/>
        <v>Volcano</v>
      </c>
      <c r="I77">
        <v>9981200075</v>
      </c>
    </row>
    <row r="78" spans="1:9" x14ac:dyDescent="0.3">
      <c r="A78" t="s">
        <v>83</v>
      </c>
      <c r="B78" t="s">
        <v>263</v>
      </c>
      <c r="C78">
        <v>25</v>
      </c>
      <c r="D78" t="s">
        <v>284</v>
      </c>
      <c r="F78" t="s">
        <v>285</v>
      </c>
      <c r="G78" t="str">
        <f t="shared" si="2"/>
        <v>Y</v>
      </c>
      <c r="H78" t="str">
        <f t="shared" si="3"/>
        <v>Volcano</v>
      </c>
      <c r="I78">
        <v>9981200076</v>
      </c>
    </row>
    <row r="79" spans="1:9" x14ac:dyDescent="0.3">
      <c r="A79" t="s">
        <v>84</v>
      </c>
      <c r="B79" t="s">
        <v>264</v>
      </c>
      <c r="C79">
        <v>27</v>
      </c>
      <c r="D79" t="s">
        <v>283</v>
      </c>
      <c r="F79" t="s">
        <v>285</v>
      </c>
      <c r="G79" t="str">
        <f t="shared" si="2"/>
        <v>Y</v>
      </c>
      <c r="H79" t="str">
        <f t="shared" si="3"/>
        <v>Nokia</v>
      </c>
      <c r="I79">
        <v>9981200077</v>
      </c>
    </row>
    <row r="80" spans="1:9" x14ac:dyDescent="0.3">
      <c r="A80" t="s">
        <v>85</v>
      </c>
      <c r="B80" t="s">
        <v>265</v>
      </c>
      <c r="C80">
        <v>23</v>
      </c>
      <c r="D80" t="s">
        <v>283</v>
      </c>
      <c r="F80" t="s">
        <v>285</v>
      </c>
      <c r="G80" t="str">
        <f t="shared" si="2"/>
        <v>Y</v>
      </c>
      <c r="H80" t="str">
        <f t="shared" si="3"/>
        <v>Volcano</v>
      </c>
      <c r="I80">
        <v>9981200078</v>
      </c>
    </row>
    <row r="81" spans="1:9" x14ac:dyDescent="0.3">
      <c r="A81" t="s">
        <v>86</v>
      </c>
      <c r="B81" t="s">
        <v>266</v>
      </c>
      <c r="C81">
        <v>24</v>
      </c>
      <c r="D81" t="s">
        <v>283</v>
      </c>
      <c r="F81" t="s">
        <v>285</v>
      </c>
      <c r="G81" t="str">
        <f t="shared" si="2"/>
        <v>Y</v>
      </c>
      <c r="H81" t="str">
        <f t="shared" si="3"/>
        <v>Volcano</v>
      </c>
      <c r="I81">
        <v>9981200079</v>
      </c>
    </row>
    <row r="82" spans="1:9" x14ac:dyDescent="0.3">
      <c r="A82" t="s">
        <v>87</v>
      </c>
      <c r="B82" t="s">
        <v>267</v>
      </c>
      <c r="C82">
        <v>25</v>
      </c>
      <c r="D82" t="s">
        <v>284</v>
      </c>
      <c r="F82" t="s">
        <v>286</v>
      </c>
      <c r="G82" t="str">
        <f t="shared" si="2"/>
        <v>N</v>
      </c>
      <c r="H82" t="str">
        <f t="shared" si="3"/>
        <v>Volcano</v>
      </c>
      <c r="I82">
        <v>9981200080</v>
      </c>
    </row>
    <row r="83" spans="1:9" x14ac:dyDescent="0.3">
      <c r="A83" t="s">
        <v>88</v>
      </c>
      <c r="B83" t="s">
        <v>268</v>
      </c>
      <c r="C83">
        <v>27</v>
      </c>
      <c r="D83" t="s">
        <v>283</v>
      </c>
      <c r="F83" t="s">
        <v>286</v>
      </c>
      <c r="G83" t="str">
        <f t="shared" si="2"/>
        <v>N</v>
      </c>
      <c r="H83" t="str">
        <f t="shared" si="3"/>
        <v>Nokia</v>
      </c>
      <c r="I83">
        <v>9981200081</v>
      </c>
    </row>
    <row r="84" spans="1:9" x14ac:dyDescent="0.3">
      <c r="A84" t="s">
        <v>89</v>
      </c>
      <c r="B84" t="s">
        <v>269</v>
      </c>
      <c r="C84">
        <v>23</v>
      </c>
      <c r="D84" t="s">
        <v>283</v>
      </c>
      <c r="F84" t="s">
        <v>286</v>
      </c>
      <c r="G84" t="str">
        <f t="shared" si="2"/>
        <v>N</v>
      </c>
      <c r="H84" t="str">
        <f t="shared" si="3"/>
        <v>Volcano</v>
      </c>
      <c r="I84">
        <v>9981200082</v>
      </c>
    </row>
    <row r="85" spans="1:9" x14ac:dyDescent="0.3">
      <c r="A85" t="s">
        <v>90</v>
      </c>
      <c r="B85" t="s">
        <v>270</v>
      </c>
      <c r="C85">
        <v>24</v>
      </c>
      <c r="D85" t="s">
        <v>283</v>
      </c>
      <c r="F85" t="s">
        <v>286</v>
      </c>
      <c r="G85" t="str">
        <f t="shared" si="2"/>
        <v>N</v>
      </c>
      <c r="H85" t="str">
        <f t="shared" si="3"/>
        <v>Volcano</v>
      </c>
      <c r="I85">
        <v>9981200083</v>
      </c>
    </row>
    <row r="86" spans="1:9" x14ac:dyDescent="0.3">
      <c r="A86" t="s">
        <v>91</v>
      </c>
      <c r="B86" t="s">
        <v>271</v>
      </c>
      <c r="C86">
        <v>25</v>
      </c>
      <c r="D86" t="s">
        <v>283</v>
      </c>
      <c r="F86" t="s">
        <v>285</v>
      </c>
      <c r="G86" t="str">
        <f t="shared" si="2"/>
        <v>Y</v>
      </c>
      <c r="H86" t="str">
        <f t="shared" si="3"/>
        <v>Volcano</v>
      </c>
      <c r="I86">
        <v>9981200084</v>
      </c>
    </row>
    <row r="87" spans="1:9" x14ac:dyDescent="0.3">
      <c r="A87" t="s">
        <v>92</v>
      </c>
      <c r="B87" t="s">
        <v>272</v>
      </c>
      <c r="C87">
        <v>26</v>
      </c>
      <c r="D87" t="s">
        <v>284</v>
      </c>
      <c r="F87" t="s">
        <v>285</v>
      </c>
      <c r="G87" t="str">
        <f t="shared" si="2"/>
        <v>Y</v>
      </c>
      <c r="H87" t="str">
        <f t="shared" si="3"/>
        <v>Nokia</v>
      </c>
      <c r="I87">
        <v>9981200085</v>
      </c>
    </row>
    <row r="88" spans="1:9" x14ac:dyDescent="0.3">
      <c r="A88" t="s">
        <v>93</v>
      </c>
      <c r="B88" t="s">
        <v>273</v>
      </c>
      <c r="C88">
        <v>28</v>
      </c>
      <c r="D88" t="s">
        <v>284</v>
      </c>
      <c r="F88" t="s">
        <v>286</v>
      </c>
      <c r="G88" t="str">
        <f t="shared" si="2"/>
        <v>N</v>
      </c>
      <c r="H88" t="str">
        <f t="shared" si="3"/>
        <v>Nokia</v>
      </c>
      <c r="I88">
        <v>9981200086</v>
      </c>
    </row>
    <row r="89" spans="1:9" x14ac:dyDescent="0.3">
      <c r="A89" t="s">
        <v>94</v>
      </c>
      <c r="B89" t="s">
        <v>274</v>
      </c>
      <c r="C89">
        <v>28</v>
      </c>
      <c r="D89" t="s">
        <v>284</v>
      </c>
      <c r="F89" t="s">
        <v>286</v>
      </c>
      <c r="G89" t="str">
        <f t="shared" si="2"/>
        <v>N</v>
      </c>
      <c r="H89" t="str">
        <f t="shared" si="3"/>
        <v>Nokia</v>
      </c>
      <c r="I89">
        <v>9981200087</v>
      </c>
    </row>
    <row r="90" spans="1:9" x14ac:dyDescent="0.3">
      <c r="A90" t="s">
        <v>95</v>
      </c>
      <c r="B90" t="s">
        <v>275</v>
      </c>
      <c r="C90">
        <v>28</v>
      </c>
      <c r="D90" t="s">
        <v>284</v>
      </c>
      <c r="F90" t="s">
        <v>286</v>
      </c>
      <c r="G90" t="str">
        <f t="shared" si="2"/>
        <v>N</v>
      </c>
      <c r="H90" t="str">
        <f t="shared" si="3"/>
        <v>Nokia</v>
      </c>
      <c r="I90">
        <v>9981200088</v>
      </c>
    </row>
    <row r="91" spans="1:9" x14ac:dyDescent="0.3">
      <c r="A91" t="s">
        <v>96</v>
      </c>
      <c r="B91" t="s">
        <v>276</v>
      </c>
      <c r="C91">
        <v>28</v>
      </c>
      <c r="D91" t="s">
        <v>283</v>
      </c>
      <c r="F91" t="s">
        <v>285</v>
      </c>
      <c r="G91" t="str">
        <f t="shared" si="2"/>
        <v>Y</v>
      </c>
      <c r="H91" t="str">
        <f t="shared" si="3"/>
        <v>Nokia</v>
      </c>
      <c r="I91">
        <v>9981200089</v>
      </c>
    </row>
    <row r="92" spans="1:9" x14ac:dyDescent="0.3">
      <c r="A92" t="s">
        <v>97</v>
      </c>
      <c r="B92" t="s">
        <v>277</v>
      </c>
      <c r="C92">
        <v>28</v>
      </c>
      <c r="D92" t="s">
        <v>284</v>
      </c>
      <c r="F92" t="s">
        <v>285</v>
      </c>
      <c r="G92" t="str">
        <f t="shared" si="2"/>
        <v>Y</v>
      </c>
      <c r="H92" t="str">
        <f t="shared" si="3"/>
        <v>Nokia</v>
      </c>
      <c r="I92">
        <v>9981200090</v>
      </c>
    </row>
    <row r="93" spans="1:9" x14ac:dyDescent="0.3">
      <c r="A93" t="s">
        <v>98</v>
      </c>
      <c r="B93" t="s">
        <v>278</v>
      </c>
      <c r="C93">
        <v>28</v>
      </c>
      <c r="D93" t="s">
        <v>284</v>
      </c>
      <c r="F93" t="s">
        <v>286</v>
      </c>
      <c r="G93" t="str">
        <f t="shared" si="2"/>
        <v>N</v>
      </c>
      <c r="H93" t="str">
        <f t="shared" si="3"/>
        <v>Nokia</v>
      </c>
      <c r="I93">
        <v>9981200091</v>
      </c>
    </row>
    <row r="94" spans="1:9" x14ac:dyDescent="0.3">
      <c r="A94" t="s">
        <v>99</v>
      </c>
      <c r="B94" t="s">
        <v>279</v>
      </c>
      <c r="C94">
        <v>28</v>
      </c>
      <c r="D94" t="s">
        <v>283</v>
      </c>
      <c r="F94" t="s">
        <v>286</v>
      </c>
      <c r="G94" t="str">
        <f t="shared" si="2"/>
        <v>N</v>
      </c>
      <c r="H94" t="str">
        <f t="shared" si="3"/>
        <v>Nokia</v>
      </c>
      <c r="I94">
        <v>9981200092</v>
      </c>
    </row>
    <row r="95" spans="1:9" x14ac:dyDescent="0.3">
      <c r="A95" t="s">
        <v>100</v>
      </c>
      <c r="B95" t="s">
        <v>280</v>
      </c>
      <c r="C95">
        <v>25</v>
      </c>
      <c r="D95" t="s">
        <v>284</v>
      </c>
      <c r="F95" t="s">
        <v>285</v>
      </c>
      <c r="G95" t="str">
        <f t="shared" si="2"/>
        <v>Y</v>
      </c>
      <c r="H95" t="str">
        <f t="shared" si="3"/>
        <v>Volcano</v>
      </c>
      <c r="I95">
        <v>9981200093</v>
      </c>
    </row>
    <row r="96" spans="1:9" x14ac:dyDescent="0.3">
      <c r="A96" t="s">
        <v>101</v>
      </c>
      <c r="B96" t="s">
        <v>281</v>
      </c>
      <c r="C96">
        <v>27</v>
      </c>
      <c r="D96" t="s">
        <v>284</v>
      </c>
      <c r="F96" t="s">
        <v>285</v>
      </c>
      <c r="G96" t="str">
        <f t="shared" si="2"/>
        <v>Y</v>
      </c>
      <c r="H96" t="str">
        <f t="shared" si="3"/>
        <v>Nokia</v>
      </c>
      <c r="I96">
        <v>9981200094</v>
      </c>
    </row>
    <row r="97" spans="1:9" x14ac:dyDescent="0.3">
      <c r="A97" t="s">
        <v>102</v>
      </c>
      <c r="B97" t="s">
        <v>282</v>
      </c>
      <c r="C97">
        <v>23</v>
      </c>
      <c r="D97" t="s">
        <v>284</v>
      </c>
      <c r="F97" t="s">
        <v>286</v>
      </c>
      <c r="G97" t="str">
        <f t="shared" si="2"/>
        <v>N</v>
      </c>
      <c r="H97" t="str">
        <f t="shared" si="3"/>
        <v>Volcano</v>
      </c>
      <c r="I97">
        <v>9981200095</v>
      </c>
    </row>
    <row r="98" spans="1:9" x14ac:dyDescent="0.3">
      <c r="A98" t="s">
        <v>103</v>
      </c>
      <c r="B98" t="s">
        <v>259</v>
      </c>
      <c r="C98">
        <v>24</v>
      </c>
      <c r="D98" t="s">
        <v>283</v>
      </c>
      <c r="F98" t="s">
        <v>285</v>
      </c>
      <c r="G98" t="str">
        <f t="shared" si="2"/>
        <v>Y</v>
      </c>
      <c r="H98" t="str">
        <f t="shared" si="3"/>
        <v>Volcano</v>
      </c>
      <c r="I98">
        <v>9981200096</v>
      </c>
    </row>
    <row r="99" spans="1:9" x14ac:dyDescent="0.3">
      <c r="A99" t="s">
        <v>104</v>
      </c>
      <c r="B99" t="s">
        <v>260</v>
      </c>
      <c r="C99">
        <v>25</v>
      </c>
      <c r="D99" t="s">
        <v>283</v>
      </c>
      <c r="F99" t="s">
        <v>285</v>
      </c>
      <c r="G99" t="str">
        <f t="shared" si="2"/>
        <v>Y</v>
      </c>
      <c r="H99" t="str">
        <f t="shared" si="3"/>
        <v>Volcano</v>
      </c>
      <c r="I99">
        <v>9981200097</v>
      </c>
    </row>
    <row r="100" spans="1:9" x14ac:dyDescent="0.3">
      <c r="A100" t="s">
        <v>105</v>
      </c>
      <c r="B100" t="s">
        <v>261</v>
      </c>
      <c r="C100">
        <v>27</v>
      </c>
      <c r="D100" t="s">
        <v>284</v>
      </c>
      <c r="F100" t="s">
        <v>286</v>
      </c>
      <c r="G100" t="str">
        <f t="shared" si="2"/>
        <v>N</v>
      </c>
      <c r="H100" t="str">
        <f t="shared" si="3"/>
        <v>Nokia</v>
      </c>
      <c r="I100">
        <v>9981200098</v>
      </c>
    </row>
    <row r="101" spans="1:9" x14ac:dyDescent="0.3">
      <c r="A101" t="s">
        <v>106</v>
      </c>
      <c r="B101" t="s">
        <v>262</v>
      </c>
      <c r="C101">
        <v>23</v>
      </c>
      <c r="D101" t="s">
        <v>283</v>
      </c>
      <c r="F101" t="s">
        <v>285</v>
      </c>
      <c r="G101" t="str">
        <f t="shared" si="2"/>
        <v>Y</v>
      </c>
      <c r="H101" t="str">
        <f t="shared" si="3"/>
        <v>Volcano</v>
      </c>
      <c r="I101">
        <v>9981200099</v>
      </c>
    </row>
    <row r="102" spans="1:9" x14ac:dyDescent="0.3">
      <c r="A102" t="s">
        <v>107</v>
      </c>
      <c r="B102" t="s">
        <v>263</v>
      </c>
      <c r="C102">
        <v>24</v>
      </c>
      <c r="D102" t="s">
        <v>284</v>
      </c>
      <c r="F102" t="s">
        <v>285</v>
      </c>
      <c r="G102" t="str">
        <f t="shared" si="2"/>
        <v>Y</v>
      </c>
      <c r="H102" t="str">
        <f t="shared" si="3"/>
        <v>Volcano</v>
      </c>
      <c r="I102">
        <v>9981200100</v>
      </c>
    </row>
    <row r="103" spans="1:9" x14ac:dyDescent="0.3">
      <c r="A103" t="s">
        <v>108</v>
      </c>
      <c r="B103" t="s">
        <v>264</v>
      </c>
      <c r="C103">
        <v>25</v>
      </c>
      <c r="D103" t="s">
        <v>283</v>
      </c>
      <c r="F103" t="s">
        <v>285</v>
      </c>
      <c r="G103" t="str">
        <f t="shared" si="2"/>
        <v>Y</v>
      </c>
      <c r="H103" t="str">
        <f t="shared" si="3"/>
        <v>Volcano</v>
      </c>
      <c r="I103">
        <v>9981200101</v>
      </c>
    </row>
    <row r="104" spans="1:9" x14ac:dyDescent="0.3">
      <c r="A104" t="s">
        <v>109</v>
      </c>
      <c r="B104" t="s">
        <v>265</v>
      </c>
      <c r="C104">
        <v>26</v>
      </c>
      <c r="D104" t="s">
        <v>283</v>
      </c>
      <c r="F104" t="s">
        <v>285</v>
      </c>
      <c r="G104" t="str">
        <f t="shared" si="2"/>
        <v>Y</v>
      </c>
      <c r="H104" t="str">
        <f t="shared" si="3"/>
        <v>Nokia</v>
      </c>
      <c r="I104">
        <v>9981200102</v>
      </c>
    </row>
    <row r="105" spans="1:9" x14ac:dyDescent="0.3">
      <c r="A105" t="s">
        <v>110</v>
      </c>
      <c r="B105" t="s">
        <v>266</v>
      </c>
      <c r="C105">
        <v>28</v>
      </c>
      <c r="D105" t="s">
        <v>283</v>
      </c>
      <c r="F105" t="s">
        <v>285</v>
      </c>
      <c r="G105" t="str">
        <f t="shared" si="2"/>
        <v>Y</v>
      </c>
      <c r="H105" t="str">
        <f t="shared" si="3"/>
        <v>Nokia</v>
      </c>
      <c r="I105">
        <v>9981200103</v>
      </c>
    </row>
    <row r="106" spans="1:9" x14ac:dyDescent="0.3">
      <c r="A106" t="s">
        <v>111</v>
      </c>
      <c r="B106" t="s">
        <v>267</v>
      </c>
      <c r="C106">
        <v>28</v>
      </c>
      <c r="D106" t="s">
        <v>284</v>
      </c>
      <c r="F106" t="s">
        <v>286</v>
      </c>
      <c r="G106" t="str">
        <f t="shared" si="2"/>
        <v>N</v>
      </c>
      <c r="H106" t="str">
        <f t="shared" si="3"/>
        <v>Nokia</v>
      </c>
      <c r="I106">
        <v>9981200104</v>
      </c>
    </row>
    <row r="107" spans="1:9" x14ac:dyDescent="0.3">
      <c r="A107" t="s">
        <v>112</v>
      </c>
      <c r="B107" t="s">
        <v>268</v>
      </c>
      <c r="C107">
        <v>28</v>
      </c>
      <c r="D107" t="s">
        <v>283</v>
      </c>
      <c r="F107" t="s">
        <v>286</v>
      </c>
      <c r="G107" t="str">
        <f t="shared" si="2"/>
        <v>N</v>
      </c>
      <c r="H107" t="str">
        <f t="shared" si="3"/>
        <v>Nokia</v>
      </c>
      <c r="I107">
        <v>9981200105</v>
      </c>
    </row>
    <row r="108" spans="1:9" x14ac:dyDescent="0.3">
      <c r="A108" t="s">
        <v>113</v>
      </c>
      <c r="B108" t="s">
        <v>269</v>
      </c>
      <c r="C108">
        <v>28</v>
      </c>
      <c r="D108" t="s">
        <v>283</v>
      </c>
      <c r="F108" t="s">
        <v>286</v>
      </c>
      <c r="G108" t="str">
        <f t="shared" si="2"/>
        <v>N</v>
      </c>
      <c r="H108" t="str">
        <f t="shared" si="3"/>
        <v>Nokia</v>
      </c>
      <c r="I108">
        <v>9981200106</v>
      </c>
    </row>
    <row r="109" spans="1:9" x14ac:dyDescent="0.3">
      <c r="A109" t="s">
        <v>114</v>
      </c>
      <c r="B109" t="s">
        <v>270</v>
      </c>
      <c r="C109">
        <v>28</v>
      </c>
      <c r="D109" t="s">
        <v>283</v>
      </c>
      <c r="F109" t="s">
        <v>286</v>
      </c>
      <c r="G109" t="str">
        <f t="shared" si="2"/>
        <v>N</v>
      </c>
      <c r="H109" t="str">
        <f t="shared" si="3"/>
        <v>Nokia</v>
      </c>
      <c r="I109">
        <v>9981200107</v>
      </c>
    </row>
    <row r="110" spans="1:9" x14ac:dyDescent="0.3">
      <c r="A110" t="s">
        <v>115</v>
      </c>
      <c r="B110" t="s">
        <v>271</v>
      </c>
      <c r="C110">
        <v>28</v>
      </c>
      <c r="D110" t="s">
        <v>283</v>
      </c>
      <c r="F110" t="s">
        <v>285</v>
      </c>
      <c r="G110" t="str">
        <f t="shared" si="2"/>
        <v>Y</v>
      </c>
      <c r="H110" t="str">
        <f t="shared" si="3"/>
        <v>Nokia</v>
      </c>
      <c r="I110">
        <v>9981200108</v>
      </c>
    </row>
    <row r="111" spans="1:9" x14ac:dyDescent="0.3">
      <c r="A111" t="s">
        <v>116</v>
      </c>
      <c r="B111" t="s">
        <v>272</v>
      </c>
      <c r="C111">
        <v>28</v>
      </c>
      <c r="D111" t="s">
        <v>284</v>
      </c>
      <c r="F111" t="s">
        <v>285</v>
      </c>
      <c r="G111" t="str">
        <f t="shared" si="2"/>
        <v>Y</v>
      </c>
      <c r="H111" t="str">
        <f t="shared" si="3"/>
        <v>Nokia</v>
      </c>
      <c r="I111">
        <v>9981200109</v>
      </c>
    </row>
    <row r="112" spans="1:9" x14ac:dyDescent="0.3">
      <c r="A112" t="s">
        <v>117</v>
      </c>
      <c r="B112" t="s">
        <v>273</v>
      </c>
      <c r="C112">
        <v>28</v>
      </c>
      <c r="D112" t="s">
        <v>284</v>
      </c>
      <c r="F112" t="s">
        <v>286</v>
      </c>
      <c r="G112" t="str">
        <f t="shared" si="2"/>
        <v>N</v>
      </c>
      <c r="H112" t="str">
        <f t="shared" si="3"/>
        <v>Nokia</v>
      </c>
      <c r="I112">
        <v>9981200110</v>
      </c>
    </row>
    <row r="113" spans="1:9" x14ac:dyDescent="0.3">
      <c r="A113" t="s">
        <v>118</v>
      </c>
      <c r="B113" t="s">
        <v>274</v>
      </c>
      <c r="C113">
        <v>28</v>
      </c>
      <c r="D113" t="s">
        <v>284</v>
      </c>
      <c r="F113" t="s">
        <v>286</v>
      </c>
      <c r="G113" t="str">
        <f t="shared" si="2"/>
        <v>N</v>
      </c>
      <c r="H113" t="str">
        <f t="shared" si="3"/>
        <v>Nokia</v>
      </c>
      <c r="I113">
        <v>9981200111</v>
      </c>
    </row>
    <row r="114" spans="1:9" x14ac:dyDescent="0.3">
      <c r="A114" t="s">
        <v>119</v>
      </c>
      <c r="B114" t="s">
        <v>275</v>
      </c>
      <c r="C114">
        <v>28</v>
      </c>
      <c r="D114" t="s">
        <v>284</v>
      </c>
      <c r="F114" t="s">
        <v>286</v>
      </c>
      <c r="G114" t="str">
        <f t="shared" si="2"/>
        <v>N</v>
      </c>
      <c r="H114" t="str">
        <f t="shared" si="3"/>
        <v>Nokia</v>
      </c>
      <c r="I114">
        <v>9981200112</v>
      </c>
    </row>
    <row r="115" spans="1:9" x14ac:dyDescent="0.3">
      <c r="A115" t="s">
        <v>120</v>
      </c>
      <c r="B115" t="s">
        <v>276</v>
      </c>
      <c r="C115">
        <v>25</v>
      </c>
      <c r="D115" t="s">
        <v>283</v>
      </c>
      <c r="F115" t="s">
        <v>285</v>
      </c>
      <c r="G115" t="str">
        <f t="shared" si="2"/>
        <v>Y</v>
      </c>
      <c r="H115" t="str">
        <f t="shared" si="3"/>
        <v>Volcano</v>
      </c>
      <c r="I115">
        <v>9981200113</v>
      </c>
    </row>
    <row r="116" spans="1:9" x14ac:dyDescent="0.3">
      <c r="A116" t="s">
        <v>121</v>
      </c>
      <c r="B116" t="s">
        <v>277</v>
      </c>
      <c r="C116">
        <v>27</v>
      </c>
      <c r="D116" t="s">
        <v>284</v>
      </c>
      <c r="F116" t="s">
        <v>285</v>
      </c>
      <c r="G116" t="str">
        <f t="shared" si="2"/>
        <v>Y</v>
      </c>
      <c r="H116" t="str">
        <f t="shared" si="3"/>
        <v>Nokia</v>
      </c>
      <c r="I116">
        <v>9981200114</v>
      </c>
    </row>
    <row r="117" spans="1:9" x14ac:dyDescent="0.3">
      <c r="A117" t="s">
        <v>122</v>
      </c>
      <c r="B117" t="s">
        <v>278</v>
      </c>
      <c r="C117">
        <v>23</v>
      </c>
      <c r="D117" t="s">
        <v>284</v>
      </c>
      <c r="F117" t="s">
        <v>286</v>
      </c>
      <c r="G117" t="str">
        <f t="shared" si="2"/>
        <v>N</v>
      </c>
      <c r="H117" t="str">
        <f t="shared" si="3"/>
        <v>Volcano</v>
      </c>
      <c r="I117">
        <v>9981200115</v>
      </c>
    </row>
    <row r="118" spans="1:9" x14ac:dyDescent="0.3">
      <c r="A118" t="s">
        <v>123</v>
      </c>
      <c r="B118" t="s">
        <v>279</v>
      </c>
      <c r="C118">
        <v>24</v>
      </c>
      <c r="D118" t="s">
        <v>283</v>
      </c>
      <c r="F118" t="s">
        <v>286</v>
      </c>
      <c r="G118" t="str">
        <f t="shared" si="2"/>
        <v>N</v>
      </c>
      <c r="H118" t="str">
        <f t="shared" si="3"/>
        <v>Volcano</v>
      </c>
      <c r="I118">
        <v>9981200116</v>
      </c>
    </row>
    <row r="119" spans="1:9" x14ac:dyDescent="0.3">
      <c r="A119" t="s">
        <v>124</v>
      </c>
      <c r="B119" t="s">
        <v>280</v>
      </c>
      <c r="C119">
        <v>25</v>
      </c>
      <c r="D119" t="s">
        <v>284</v>
      </c>
      <c r="F119" t="s">
        <v>285</v>
      </c>
      <c r="G119" t="str">
        <f t="shared" si="2"/>
        <v>Y</v>
      </c>
      <c r="H119" t="str">
        <f t="shared" si="3"/>
        <v>Volcano</v>
      </c>
      <c r="I119">
        <v>9981200117</v>
      </c>
    </row>
    <row r="120" spans="1:9" x14ac:dyDescent="0.3">
      <c r="A120" t="s">
        <v>125</v>
      </c>
      <c r="B120" t="s">
        <v>281</v>
      </c>
      <c r="C120">
        <v>27</v>
      </c>
      <c r="D120" t="s">
        <v>284</v>
      </c>
      <c r="F120" t="s">
        <v>285</v>
      </c>
      <c r="G120" t="str">
        <f t="shared" si="2"/>
        <v>Y</v>
      </c>
      <c r="H120" t="str">
        <f t="shared" si="3"/>
        <v>Nokia</v>
      </c>
      <c r="I120">
        <v>9981200118</v>
      </c>
    </row>
    <row r="121" spans="1:9" x14ac:dyDescent="0.3">
      <c r="A121" t="s">
        <v>126</v>
      </c>
      <c r="B121" t="s">
        <v>282</v>
      </c>
      <c r="C121">
        <v>24</v>
      </c>
      <c r="D121" t="s">
        <v>284</v>
      </c>
      <c r="F121" t="s">
        <v>286</v>
      </c>
      <c r="G121" t="str">
        <f t="shared" si="2"/>
        <v>N</v>
      </c>
      <c r="H121" t="str">
        <f t="shared" si="3"/>
        <v>Volcano</v>
      </c>
      <c r="I121">
        <v>9981200119</v>
      </c>
    </row>
    <row r="122" spans="1:9" x14ac:dyDescent="0.3">
      <c r="A122" t="s">
        <v>127</v>
      </c>
      <c r="B122" t="s">
        <v>259</v>
      </c>
      <c r="C122">
        <v>25</v>
      </c>
      <c r="D122" t="s">
        <v>283</v>
      </c>
      <c r="F122" t="s">
        <v>285</v>
      </c>
      <c r="G122" t="str">
        <f t="shared" si="2"/>
        <v>Y</v>
      </c>
      <c r="H122" t="str">
        <f t="shared" si="3"/>
        <v>Volcano</v>
      </c>
      <c r="I122">
        <v>9981200120</v>
      </c>
    </row>
    <row r="123" spans="1:9" x14ac:dyDescent="0.3">
      <c r="A123" t="s">
        <v>128</v>
      </c>
      <c r="B123" t="s">
        <v>260</v>
      </c>
      <c r="C123">
        <v>27</v>
      </c>
      <c r="D123" t="s">
        <v>283</v>
      </c>
      <c r="F123" t="s">
        <v>285</v>
      </c>
      <c r="G123" t="str">
        <f t="shared" si="2"/>
        <v>Y</v>
      </c>
      <c r="H123" t="str">
        <f t="shared" si="3"/>
        <v>Nokia</v>
      </c>
      <c r="I123">
        <v>9981200121</v>
      </c>
    </row>
    <row r="124" spans="1:9" x14ac:dyDescent="0.3">
      <c r="A124" t="s">
        <v>129</v>
      </c>
      <c r="B124" t="s">
        <v>261</v>
      </c>
      <c r="C124">
        <v>23</v>
      </c>
      <c r="D124" t="s">
        <v>284</v>
      </c>
      <c r="F124" t="s">
        <v>286</v>
      </c>
      <c r="G124" t="str">
        <f t="shared" si="2"/>
        <v>N</v>
      </c>
      <c r="H124" t="str">
        <f t="shared" si="3"/>
        <v>Volcano</v>
      </c>
      <c r="I124">
        <v>9981200122</v>
      </c>
    </row>
    <row r="125" spans="1:9" x14ac:dyDescent="0.3">
      <c r="A125" t="s">
        <v>130</v>
      </c>
      <c r="B125" t="s">
        <v>262</v>
      </c>
      <c r="C125">
        <v>24</v>
      </c>
      <c r="D125" t="s">
        <v>283</v>
      </c>
      <c r="F125" t="s">
        <v>285</v>
      </c>
      <c r="G125" t="str">
        <f t="shared" si="2"/>
        <v>Y</v>
      </c>
      <c r="H125" t="str">
        <f t="shared" si="3"/>
        <v>Volcano</v>
      </c>
      <c r="I125">
        <v>9981200123</v>
      </c>
    </row>
    <row r="126" spans="1:9" x14ac:dyDescent="0.3">
      <c r="A126" t="s">
        <v>131</v>
      </c>
      <c r="B126" t="s">
        <v>263</v>
      </c>
      <c r="C126">
        <v>25</v>
      </c>
      <c r="D126" t="s">
        <v>284</v>
      </c>
      <c r="F126" t="s">
        <v>285</v>
      </c>
      <c r="G126" t="str">
        <f t="shared" si="2"/>
        <v>Y</v>
      </c>
      <c r="H126" t="str">
        <f t="shared" si="3"/>
        <v>Volcano</v>
      </c>
      <c r="I126">
        <v>9981200124</v>
      </c>
    </row>
    <row r="127" spans="1:9" x14ac:dyDescent="0.3">
      <c r="A127" t="s">
        <v>132</v>
      </c>
      <c r="B127" t="s">
        <v>264</v>
      </c>
      <c r="C127">
        <v>26</v>
      </c>
      <c r="D127" t="s">
        <v>283</v>
      </c>
      <c r="F127" t="s">
        <v>285</v>
      </c>
      <c r="G127" t="str">
        <f t="shared" si="2"/>
        <v>Y</v>
      </c>
      <c r="H127" t="str">
        <f t="shared" si="3"/>
        <v>Nokia</v>
      </c>
      <c r="I127">
        <v>9981200125</v>
      </c>
    </row>
    <row r="128" spans="1:9" x14ac:dyDescent="0.3">
      <c r="A128" t="s">
        <v>133</v>
      </c>
      <c r="B128" t="s">
        <v>265</v>
      </c>
      <c r="C128">
        <v>28</v>
      </c>
      <c r="D128" t="s">
        <v>283</v>
      </c>
      <c r="F128" t="s">
        <v>285</v>
      </c>
      <c r="G128" t="str">
        <f t="shared" si="2"/>
        <v>Y</v>
      </c>
      <c r="H128" t="str">
        <f t="shared" si="3"/>
        <v>Nokia</v>
      </c>
      <c r="I128">
        <v>9981200126</v>
      </c>
    </row>
    <row r="129" spans="1:9" x14ac:dyDescent="0.3">
      <c r="A129" t="s">
        <v>134</v>
      </c>
      <c r="B129" t="s">
        <v>266</v>
      </c>
      <c r="C129">
        <v>28</v>
      </c>
      <c r="D129" t="s">
        <v>283</v>
      </c>
      <c r="F129" t="s">
        <v>285</v>
      </c>
      <c r="G129" t="str">
        <f t="shared" si="2"/>
        <v>Y</v>
      </c>
      <c r="H129" t="str">
        <f t="shared" si="3"/>
        <v>Nokia</v>
      </c>
      <c r="I129">
        <v>9981200127</v>
      </c>
    </row>
    <row r="130" spans="1:9" x14ac:dyDescent="0.3">
      <c r="A130" t="s">
        <v>135</v>
      </c>
      <c r="B130" t="s">
        <v>267</v>
      </c>
      <c r="C130">
        <v>28</v>
      </c>
      <c r="D130" t="s">
        <v>284</v>
      </c>
      <c r="F130" t="s">
        <v>286</v>
      </c>
      <c r="G130" t="str">
        <f t="shared" si="2"/>
        <v>N</v>
      </c>
      <c r="H130" t="str">
        <f t="shared" si="3"/>
        <v>Nokia</v>
      </c>
      <c r="I130">
        <v>9981200128</v>
      </c>
    </row>
    <row r="131" spans="1:9" x14ac:dyDescent="0.3">
      <c r="A131" t="s">
        <v>136</v>
      </c>
      <c r="B131" t="s">
        <v>268</v>
      </c>
      <c r="C131">
        <v>28</v>
      </c>
      <c r="D131" t="s">
        <v>283</v>
      </c>
      <c r="F131" t="s">
        <v>286</v>
      </c>
      <c r="G131" t="str">
        <f t="shared" ref="G131:G194" si="4">IF(F131="Paid","Y","N")</f>
        <v>N</v>
      </c>
      <c r="H131" t="str">
        <f t="shared" ref="H131:H194" si="5">IF(C131&lt;23,"Aircel",IF(C131&lt;26,"Volcano","Nokia"))</f>
        <v>Nokia</v>
      </c>
      <c r="I131">
        <v>9981200129</v>
      </c>
    </row>
    <row r="132" spans="1:9" x14ac:dyDescent="0.3">
      <c r="A132" t="s">
        <v>137</v>
      </c>
      <c r="B132" t="s">
        <v>269</v>
      </c>
      <c r="C132">
        <v>28</v>
      </c>
      <c r="D132" t="s">
        <v>283</v>
      </c>
      <c r="F132" t="s">
        <v>286</v>
      </c>
      <c r="G132" t="str">
        <f t="shared" si="4"/>
        <v>N</v>
      </c>
      <c r="H132" t="str">
        <f t="shared" si="5"/>
        <v>Nokia</v>
      </c>
      <c r="I132">
        <v>9981200130</v>
      </c>
    </row>
    <row r="133" spans="1:9" x14ac:dyDescent="0.3">
      <c r="A133" t="s">
        <v>138</v>
      </c>
      <c r="B133" t="s">
        <v>270</v>
      </c>
      <c r="C133">
        <v>28</v>
      </c>
      <c r="D133" t="s">
        <v>283</v>
      </c>
      <c r="F133" t="s">
        <v>286</v>
      </c>
      <c r="G133" t="str">
        <f t="shared" si="4"/>
        <v>N</v>
      </c>
      <c r="H133" t="str">
        <f t="shared" si="5"/>
        <v>Nokia</v>
      </c>
      <c r="I133">
        <v>9981200131</v>
      </c>
    </row>
    <row r="134" spans="1:9" x14ac:dyDescent="0.3">
      <c r="A134" t="s">
        <v>139</v>
      </c>
      <c r="B134" t="s">
        <v>271</v>
      </c>
      <c r="C134">
        <v>28</v>
      </c>
      <c r="D134" t="s">
        <v>283</v>
      </c>
      <c r="F134" t="s">
        <v>285</v>
      </c>
      <c r="G134" t="str">
        <f t="shared" si="4"/>
        <v>Y</v>
      </c>
      <c r="H134" t="str">
        <f t="shared" si="5"/>
        <v>Nokia</v>
      </c>
      <c r="I134">
        <v>9981200132</v>
      </c>
    </row>
    <row r="135" spans="1:9" x14ac:dyDescent="0.3">
      <c r="A135" t="s">
        <v>140</v>
      </c>
      <c r="B135" t="s">
        <v>272</v>
      </c>
      <c r="C135">
        <v>28</v>
      </c>
      <c r="D135" t="s">
        <v>284</v>
      </c>
      <c r="F135" t="s">
        <v>285</v>
      </c>
      <c r="G135" t="str">
        <f t="shared" si="4"/>
        <v>Y</v>
      </c>
      <c r="H135" t="str">
        <f t="shared" si="5"/>
        <v>Nokia</v>
      </c>
      <c r="I135">
        <v>9981200133</v>
      </c>
    </row>
    <row r="136" spans="1:9" x14ac:dyDescent="0.3">
      <c r="A136" t="s">
        <v>141</v>
      </c>
      <c r="B136" t="s">
        <v>273</v>
      </c>
      <c r="C136">
        <v>28</v>
      </c>
      <c r="D136" t="s">
        <v>284</v>
      </c>
      <c r="F136" t="s">
        <v>286</v>
      </c>
      <c r="G136" t="str">
        <f t="shared" si="4"/>
        <v>N</v>
      </c>
      <c r="H136" t="str">
        <f t="shared" si="5"/>
        <v>Nokia</v>
      </c>
      <c r="I136">
        <v>9981200134</v>
      </c>
    </row>
    <row r="137" spans="1:9" x14ac:dyDescent="0.3">
      <c r="A137" t="s">
        <v>142</v>
      </c>
      <c r="B137" t="s">
        <v>274</v>
      </c>
      <c r="C137">
        <v>28</v>
      </c>
      <c r="D137" t="s">
        <v>284</v>
      </c>
      <c r="F137" t="s">
        <v>286</v>
      </c>
      <c r="G137" t="str">
        <f t="shared" si="4"/>
        <v>N</v>
      </c>
      <c r="H137" t="str">
        <f t="shared" si="5"/>
        <v>Nokia</v>
      </c>
      <c r="I137">
        <v>9981200135</v>
      </c>
    </row>
    <row r="138" spans="1:9" x14ac:dyDescent="0.3">
      <c r="A138" t="s">
        <v>143</v>
      </c>
      <c r="B138" t="s">
        <v>275</v>
      </c>
      <c r="C138">
        <v>25</v>
      </c>
      <c r="D138" t="s">
        <v>284</v>
      </c>
      <c r="F138" t="s">
        <v>286</v>
      </c>
      <c r="G138" t="str">
        <f t="shared" si="4"/>
        <v>N</v>
      </c>
      <c r="H138" t="str">
        <f t="shared" si="5"/>
        <v>Volcano</v>
      </c>
      <c r="I138">
        <v>9981200136</v>
      </c>
    </row>
    <row r="139" spans="1:9" x14ac:dyDescent="0.3">
      <c r="A139" t="s">
        <v>144</v>
      </c>
      <c r="B139" t="s">
        <v>276</v>
      </c>
      <c r="C139">
        <v>27</v>
      </c>
      <c r="D139" t="s">
        <v>283</v>
      </c>
      <c r="F139" t="s">
        <v>285</v>
      </c>
      <c r="G139" t="str">
        <f t="shared" si="4"/>
        <v>Y</v>
      </c>
      <c r="H139" t="str">
        <f t="shared" si="5"/>
        <v>Nokia</v>
      </c>
      <c r="I139">
        <v>9981200137</v>
      </c>
    </row>
    <row r="140" spans="1:9" x14ac:dyDescent="0.3">
      <c r="A140" t="s">
        <v>145</v>
      </c>
      <c r="B140" t="s">
        <v>277</v>
      </c>
      <c r="C140">
        <v>23</v>
      </c>
      <c r="D140" t="s">
        <v>284</v>
      </c>
      <c r="F140" t="s">
        <v>285</v>
      </c>
      <c r="G140" t="str">
        <f t="shared" si="4"/>
        <v>Y</v>
      </c>
      <c r="H140" t="str">
        <f t="shared" si="5"/>
        <v>Volcano</v>
      </c>
      <c r="I140">
        <v>9981200138</v>
      </c>
    </row>
    <row r="141" spans="1:9" x14ac:dyDescent="0.3">
      <c r="A141" t="s">
        <v>146</v>
      </c>
      <c r="B141" t="s">
        <v>278</v>
      </c>
      <c r="C141">
        <v>24</v>
      </c>
      <c r="D141" t="s">
        <v>284</v>
      </c>
      <c r="F141" t="s">
        <v>286</v>
      </c>
      <c r="G141" t="str">
        <f t="shared" si="4"/>
        <v>N</v>
      </c>
      <c r="H141" t="str">
        <f t="shared" si="5"/>
        <v>Volcano</v>
      </c>
      <c r="I141">
        <v>9981200139</v>
      </c>
    </row>
    <row r="142" spans="1:9" x14ac:dyDescent="0.3">
      <c r="A142" t="s">
        <v>147</v>
      </c>
      <c r="B142" t="s">
        <v>279</v>
      </c>
      <c r="C142">
        <v>25</v>
      </c>
      <c r="D142" t="s">
        <v>283</v>
      </c>
      <c r="F142" t="s">
        <v>286</v>
      </c>
      <c r="G142" t="str">
        <f t="shared" si="4"/>
        <v>N</v>
      </c>
      <c r="H142" t="str">
        <f t="shared" si="5"/>
        <v>Volcano</v>
      </c>
      <c r="I142">
        <v>9981200140</v>
      </c>
    </row>
    <row r="143" spans="1:9" x14ac:dyDescent="0.3">
      <c r="A143" t="s">
        <v>148</v>
      </c>
      <c r="B143" t="s">
        <v>280</v>
      </c>
      <c r="C143">
        <v>27</v>
      </c>
      <c r="D143" t="s">
        <v>284</v>
      </c>
      <c r="F143" t="s">
        <v>285</v>
      </c>
      <c r="G143" t="str">
        <f t="shared" si="4"/>
        <v>Y</v>
      </c>
      <c r="H143" t="str">
        <f t="shared" si="5"/>
        <v>Nokia</v>
      </c>
      <c r="I143">
        <v>9981200141</v>
      </c>
    </row>
    <row r="144" spans="1:9" x14ac:dyDescent="0.3">
      <c r="A144" t="s">
        <v>149</v>
      </c>
      <c r="B144" t="s">
        <v>281</v>
      </c>
      <c r="C144">
        <v>27</v>
      </c>
      <c r="D144" t="s">
        <v>284</v>
      </c>
      <c r="F144" t="s">
        <v>285</v>
      </c>
      <c r="G144" t="str">
        <f t="shared" si="4"/>
        <v>Y</v>
      </c>
      <c r="H144" t="str">
        <f t="shared" si="5"/>
        <v>Nokia</v>
      </c>
      <c r="I144">
        <v>9981200142</v>
      </c>
    </row>
    <row r="145" spans="1:9" x14ac:dyDescent="0.3">
      <c r="A145" t="s">
        <v>150</v>
      </c>
      <c r="B145" t="s">
        <v>282</v>
      </c>
      <c r="C145">
        <v>24</v>
      </c>
      <c r="D145" t="s">
        <v>284</v>
      </c>
      <c r="F145" t="s">
        <v>286</v>
      </c>
      <c r="G145" t="str">
        <f t="shared" si="4"/>
        <v>N</v>
      </c>
      <c r="H145" t="str">
        <f t="shared" si="5"/>
        <v>Volcano</v>
      </c>
      <c r="I145">
        <v>9981200143</v>
      </c>
    </row>
    <row r="146" spans="1:9" x14ac:dyDescent="0.3">
      <c r="A146" t="s">
        <v>151</v>
      </c>
      <c r="B146" t="s">
        <v>259</v>
      </c>
      <c r="C146">
        <v>25</v>
      </c>
      <c r="D146" t="s">
        <v>283</v>
      </c>
      <c r="F146" t="s">
        <v>285</v>
      </c>
      <c r="G146" t="str">
        <f t="shared" si="4"/>
        <v>Y</v>
      </c>
      <c r="H146" t="str">
        <f t="shared" si="5"/>
        <v>Volcano</v>
      </c>
      <c r="I146">
        <v>9981200144</v>
      </c>
    </row>
    <row r="147" spans="1:9" x14ac:dyDescent="0.3">
      <c r="A147" t="s">
        <v>152</v>
      </c>
      <c r="B147" t="s">
        <v>260</v>
      </c>
      <c r="C147">
        <v>27</v>
      </c>
      <c r="D147" t="s">
        <v>283</v>
      </c>
      <c r="F147" t="s">
        <v>285</v>
      </c>
      <c r="G147" t="str">
        <f t="shared" si="4"/>
        <v>Y</v>
      </c>
      <c r="H147" t="str">
        <f t="shared" si="5"/>
        <v>Nokia</v>
      </c>
      <c r="I147">
        <v>9981200145</v>
      </c>
    </row>
    <row r="148" spans="1:9" x14ac:dyDescent="0.3">
      <c r="A148" t="s">
        <v>153</v>
      </c>
      <c r="B148" t="s">
        <v>261</v>
      </c>
      <c r="C148">
        <v>23</v>
      </c>
      <c r="D148" t="s">
        <v>284</v>
      </c>
      <c r="F148" t="s">
        <v>286</v>
      </c>
      <c r="G148" t="str">
        <f t="shared" si="4"/>
        <v>N</v>
      </c>
      <c r="H148" t="str">
        <f t="shared" si="5"/>
        <v>Volcano</v>
      </c>
      <c r="I148">
        <v>9981200146</v>
      </c>
    </row>
    <row r="149" spans="1:9" x14ac:dyDescent="0.3">
      <c r="A149" t="s">
        <v>154</v>
      </c>
      <c r="B149" t="s">
        <v>262</v>
      </c>
      <c r="C149">
        <v>24</v>
      </c>
      <c r="D149" t="s">
        <v>283</v>
      </c>
      <c r="F149" t="s">
        <v>285</v>
      </c>
      <c r="G149" t="str">
        <f t="shared" si="4"/>
        <v>Y</v>
      </c>
      <c r="H149" t="str">
        <f t="shared" si="5"/>
        <v>Volcano</v>
      </c>
      <c r="I149">
        <v>9981200147</v>
      </c>
    </row>
    <row r="150" spans="1:9" x14ac:dyDescent="0.3">
      <c r="A150" t="s">
        <v>155</v>
      </c>
      <c r="B150" t="s">
        <v>263</v>
      </c>
      <c r="C150">
        <v>25</v>
      </c>
      <c r="D150" t="s">
        <v>284</v>
      </c>
      <c r="F150" t="s">
        <v>285</v>
      </c>
      <c r="G150" t="str">
        <f t="shared" si="4"/>
        <v>Y</v>
      </c>
      <c r="H150" t="str">
        <f t="shared" si="5"/>
        <v>Volcano</v>
      </c>
      <c r="I150">
        <v>9981200148</v>
      </c>
    </row>
    <row r="151" spans="1:9" x14ac:dyDescent="0.3">
      <c r="A151" t="s">
        <v>156</v>
      </c>
      <c r="B151" t="s">
        <v>264</v>
      </c>
      <c r="C151">
        <v>27</v>
      </c>
      <c r="D151" t="s">
        <v>283</v>
      </c>
      <c r="F151" t="s">
        <v>285</v>
      </c>
      <c r="G151" t="str">
        <f t="shared" si="4"/>
        <v>Y</v>
      </c>
      <c r="H151" t="str">
        <f t="shared" si="5"/>
        <v>Nokia</v>
      </c>
      <c r="I151">
        <v>9981200149</v>
      </c>
    </row>
    <row r="152" spans="1:9" x14ac:dyDescent="0.3">
      <c r="A152" t="s">
        <v>157</v>
      </c>
      <c r="B152" t="s">
        <v>265</v>
      </c>
      <c r="C152">
        <v>23</v>
      </c>
      <c r="D152" t="s">
        <v>283</v>
      </c>
      <c r="F152" t="s">
        <v>285</v>
      </c>
      <c r="G152" t="str">
        <f t="shared" si="4"/>
        <v>Y</v>
      </c>
      <c r="H152" t="str">
        <f t="shared" si="5"/>
        <v>Volcano</v>
      </c>
      <c r="I152">
        <v>9981200150</v>
      </c>
    </row>
    <row r="153" spans="1:9" x14ac:dyDescent="0.3">
      <c r="A153" t="s">
        <v>158</v>
      </c>
      <c r="B153" t="s">
        <v>266</v>
      </c>
      <c r="C153">
        <v>24</v>
      </c>
      <c r="D153" t="s">
        <v>283</v>
      </c>
      <c r="F153" t="s">
        <v>285</v>
      </c>
      <c r="G153" t="str">
        <f t="shared" si="4"/>
        <v>Y</v>
      </c>
      <c r="H153" t="str">
        <f t="shared" si="5"/>
        <v>Volcano</v>
      </c>
      <c r="I153">
        <v>9981200151</v>
      </c>
    </row>
    <row r="154" spans="1:9" x14ac:dyDescent="0.3">
      <c r="A154" t="s">
        <v>159</v>
      </c>
      <c r="B154" t="s">
        <v>267</v>
      </c>
      <c r="C154">
        <v>25</v>
      </c>
      <c r="D154" t="s">
        <v>284</v>
      </c>
      <c r="F154" t="s">
        <v>286</v>
      </c>
      <c r="G154" t="str">
        <f t="shared" si="4"/>
        <v>N</v>
      </c>
      <c r="H154" t="str">
        <f t="shared" si="5"/>
        <v>Volcano</v>
      </c>
      <c r="I154">
        <v>9981200152</v>
      </c>
    </row>
    <row r="155" spans="1:9" x14ac:dyDescent="0.3">
      <c r="A155" t="s">
        <v>160</v>
      </c>
      <c r="B155" t="s">
        <v>268</v>
      </c>
      <c r="C155">
        <v>26</v>
      </c>
      <c r="D155" t="s">
        <v>283</v>
      </c>
      <c r="F155" t="s">
        <v>286</v>
      </c>
      <c r="G155" t="str">
        <f t="shared" si="4"/>
        <v>N</v>
      </c>
      <c r="H155" t="str">
        <f t="shared" si="5"/>
        <v>Nokia</v>
      </c>
      <c r="I155">
        <v>9981200153</v>
      </c>
    </row>
    <row r="156" spans="1:9" x14ac:dyDescent="0.3">
      <c r="A156" t="s">
        <v>161</v>
      </c>
      <c r="B156" t="s">
        <v>269</v>
      </c>
      <c r="C156">
        <v>28</v>
      </c>
      <c r="D156" t="s">
        <v>283</v>
      </c>
      <c r="F156" t="s">
        <v>286</v>
      </c>
      <c r="G156" t="str">
        <f t="shared" si="4"/>
        <v>N</v>
      </c>
      <c r="H156" t="str">
        <f t="shared" si="5"/>
        <v>Nokia</v>
      </c>
      <c r="I156">
        <v>9981200154</v>
      </c>
    </row>
    <row r="157" spans="1:9" x14ac:dyDescent="0.3">
      <c r="A157" t="s">
        <v>162</v>
      </c>
      <c r="B157" t="s">
        <v>270</v>
      </c>
      <c r="C157">
        <v>28</v>
      </c>
      <c r="D157" t="s">
        <v>283</v>
      </c>
      <c r="F157" t="s">
        <v>286</v>
      </c>
      <c r="G157" t="str">
        <f t="shared" si="4"/>
        <v>N</v>
      </c>
      <c r="H157" t="str">
        <f t="shared" si="5"/>
        <v>Nokia</v>
      </c>
      <c r="I157">
        <v>9981200155</v>
      </c>
    </row>
    <row r="158" spans="1:9" x14ac:dyDescent="0.3">
      <c r="A158" t="s">
        <v>163</v>
      </c>
      <c r="B158" t="s">
        <v>271</v>
      </c>
      <c r="C158">
        <v>28</v>
      </c>
      <c r="D158" t="s">
        <v>283</v>
      </c>
      <c r="F158" t="s">
        <v>285</v>
      </c>
      <c r="G158" t="str">
        <f t="shared" si="4"/>
        <v>Y</v>
      </c>
      <c r="H158" t="str">
        <f t="shared" si="5"/>
        <v>Nokia</v>
      </c>
      <c r="I158">
        <v>9981200156</v>
      </c>
    </row>
    <row r="159" spans="1:9" x14ac:dyDescent="0.3">
      <c r="A159" t="s">
        <v>164</v>
      </c>
      <c r="B159" t="s">
        <v>272</v>
      </c>
      <c r="C159">
        <v>28</v>
      </c>
      <c r="D159" t="s">
        <v>284</v>
      </c>
      <c r="F159" t="s">
        <v>285</v>
      </c>
      <c r="G159" t="str">
        <f t="shared" si="4"/>
        <v>Y</v>
      </c>
      <c r="H159" t="str">
        <f t="shared" si="5"/>
        <v>Nokia</v>
      </c>
      <c r="I159">
        <v>9981200157</v>
      </c>
    </row>
    <row r="160" spans="1:9" x14ac:dyDescent="0.3">
      <c r="A160" t="s">
        <v>165</v>
      </c>
      <c r="B160" t="s">
        <v>273</v>
      </c>
      <c r="C160">
        <v>28</v>
      </c>
      <c r="D160" t="s">
        <v>284</v>
      </c>
      <c r="F160" t="s">
        <v>286</v>
      </c>
      <c r="G160" t="str">
        <f t="shared" si="4"/>
        <v>N</v>
      </c>
      <c r="H160" t="str">
        <f t="shared" si="5"/>
        <v>Nokia</v>
      </c>
      <c r="I160">
        <v>9981200158</v>
      </c>
    </row>
    <row r="161" spans="1:9" x14ac:dyDescent="0.3">
      <c r="A161" t="s">
        <v>166</v>
      </c>
      <c r="B161" t="s">
        <v>274</v>
      </c>
      <c r="C161">
        <v>28</v>
      </c>
      <c r="D161" t="s">
        <v>284</v>
      </c>
      <c r="F161" t="s">
        <v>286</v>
      </c>
      <c r="G161" t="str">
        <f t="shared" si="4"/>
        <v>N</v>
      </c>
      <c r="H161" t="str">
        <f t="shared" si="5"/>
        <v>Nokia</v>
      </c>
      <c r="I161">
        <v>9981200159</v>
      </c>
    </row>
    <row r="162" spans="1:9" x14ac:dyDescent="0.3">
      <c r="A162" t="s">
        <v>167</v>
      </c>
      <c r="B162" t="s">
        <v>275</v>
      </c>
      <c r="C162">
        <v>28</v>
      </c>
      <c r="D162" t="s">
        <v>284</v>
      </c>
      <c r="F162" t="s">
        <v>286</v>
      </c>
      <c r="G162" t="str">
        <f t="shared" si="4"/>
        <v>N</v>
      </c>
      <c r="H162" t="str">
        <f t="shared" si="5"/>
        <v>Nokia</v>
      </c>
      <c r="I162">
        <v>9981200160</v>
      </c>
    </row>
    <row r="163" spans="1:9" x14ac:dyDescent="0.3">
      <c r="A163" t="s">
        <v>168</v>
      </c>
      <c r="B163" t="s">
        <v>276</v>
      </c>
      <c r="C163">
        <v>25</v>
      </c>
      <c r="D163" t="s">
        <v>283</v>
      </c>
      <c r="F163" t="s">
        <v>285</v>
      </c>
      <c r="G163" t="str">
        <f t="shared" si="4"/>
        <v>Y</v>
      </c>
      <c r="H163" t="str">
        <f t="shared" si="5"/>
        <v>Volcano</v>
      </c>
      <c r="I163">
        <v>9981200161</v>
      </c>
    </row>
    <row r="164" spans="1:9" x14ac:dyDescent="0.3">
      <c r="A164" t="s">
        <v>169</v>
      </c>
      <c r="B164" t="s">
        <v>277</v>
      </c>
      <c r="C164">
        <v>27</v>
      </c>
      <c r="D164" t="s">
        <v>284</v>
      </c>
      <c r="F164" t="s">
        <v>285</v>
      </c>
      <c r="G164" t="str">
        <f t="shared" si="4"/>
        <v>Y</v>
      </c>
      <c r="H164" t="str">
        <f t="shared" si="5"/>
        <v>Nokia</v>
      </c>
      <c r="I164">
        <v>9981200162</v>
      </c>
    </row>
    <row r="165" spans="1:9" x14ac:dyDescent="0.3">
      <c r="A165" t="s">
        <v>170</v>
      </c>
      <c r="B165" t="s">
        <v>278</v>
      </c>
      <c r="C165">
        <v>23</v>
      </c>
      <c r="D165" t="s">
        <v>284</v>
      </c>
      <c r="F165" t="s">
        <v>286</v>
      </c>
      <c r="G165" t="str">
        <f t="shared" si="4"/>
        <v>N</v>
      </c>
      <c r="H165" t="str">
        <f t="shared" si="5"/>
        <v>Volcano</v>
      </c>
      <c r="I165">
        <v>9981200163</v>
      </c>
    </row>
    <row r="166" spans="1:9" x14ac:dyDescent="0.3">
      <c r="A166" t="s">
        <v>171</v>
      </c>
      <c r="B166" t="s">
        <v>279</v>
      </c>
      <c r="C166">
        <v>24</v>
      </c>
      <c r="D166" t="s">
        <v>283</v>
      </c>
      <c r="F166" t="s">
        <v>286</v>
      </c>
      <c r="G166" t="str">
        <f t="shared" si="4"/>
        <v>N</v>
      </c>
      <c r="H166" t="str">
        <f t="shared" si="5"/>
        <v>Volcano</v>
      </c>
      <c r="I166">
        <v>9981200164</v>
      </c>
    </row>
    <row r="167" spans="1:9" x14ac:dyDescent="0.3">
      <c r="A167" t="s">
        <v>172</v>
      </c>
      <c r="B167" t="s">
        <v>280</v>
      </c>
      <c r="C167">
        <v>25</v>
      </c>
      <c r="D167" t="s">
        <v>284</v>
      </c>
      <c r="F167" t="s">
        <v>285</v>
      </c>
      <c r="G167" t="str">
        <f t="shared" si="4"/>
        <v>Y</v>
      </c>
      <c r="H167" t="str">
        <f t="shared" si="5"/>
        <v>Volcano</v>
      </c>
      <c r="I167">
        <v>9981200165</v>
      </c>
    </row>
    <row r="168" spans="1:9" x14ac:dyDescent="0.3">
      <c r="A168" t="s">
        <v>173</v>
      </c>
      <c r="B168" t="s">
        <v>281</v>
      </c>
      <c r="C168">
        <v>27</v>
      </c>
      <c r="D168" t="s">
        <v>284</v>
      </c>
      <c r="F168" t="s">
        <v>285</v>
      </c>
      <c r="G168" t="str">
        <f t="shared" si="4"/>
        <v>Y</v>
      </c>
      <c r="H168" t="str">
        <f t="shared" si="5"/>
        <v>Nokia</v>
      </c>
      <c r="I168">
        <v>9981200166</v>
      </c>
    </row>
    <row r="169" spans="1:9" x14ac:dyDescent="0.3">
      <c r="A169" t="s">
        <v>174</v>
      </c>
      <c r="B169" t="s">
        <v>282</v>
      </c>
      <c r="C169">
        <v>23</v>
      </c>
      <c r="D169" t="s">
        <v>284</v>
      </c>
      <c r="F169" t="s">
        <v>286</v>
      </c>
      <c r="G169" t="str">
        <f t="shared" si="4"/>
        <v>N</v>
      </c>
      <c r="H169" t="str">
        <f t="shared" si="5"/>
        <v>Volcano</v>
      </c>
      <c r="I169">
        <v>9981200167</v>
      </c>
    </row>
    <row r="170" spans="1:9" x14ac:dyDescent="0.3">
      <c r="A170" t="s">
        <v>175</v>
      </c>
      <c r="B170" t="s">
        <v>259</v>
      </c>
      <c r="C170">
        <v>24</v>
      </c>
      <c r="D170" t="s">
        <v>283</v>
      </c>
      <c r="F170" t="s">
        <v>285</v>
      </c>
      <c r="G170" t="str">
        <f t="shared" si="4"/>
        <v>Y</v>
      </c>
      <c r="H170" t="str">
        <f t="shared" si="5"/>
        <v>Volcano</v>
      </c>
      <c r="I170">
        <v>9981200168</v>
      </c>
    </row>
    <row r="171" spans="1:9" x14ac:dyDescent="0.3">
      <c r="A171" t="s">
        <v>176</v>
      </c>
      <c r="B171" t="s">
        <v>260</v>
      </c>
      <c r="C171">
        <v>25</v>
      </c>
      <c r="D171" t="s">
        <v>283</v>
      </c>
      <c r="F171" t="s">
        <v>285</v>
      </c>
      <c r="G171" t="str">
        <f t="shared" si="4"/>
        <v>Y</v>
      </c>
      <c r="H171" t="str">
        <f t="shared" si="5"/>
        <v>Volcano</v>
      </c>
      <c r="I171">
        <v>9981200169</v>
      </c>
    </row>
    <row r="172" spans="1:9" x14ac:dyDescent="0.3">
      <c r="A172" t="s">
        <v>177</v>
      </c>
      <c r="B172" t="s">
        <v>261</v>
      </c>
      <c r="C172">
        <v>26</v>
      </c>
      <c r="D172" t="s">
        <v>284</v>
      </c>
      <c r="F172" t="s">
        <v>286</v>
      </c>
      <c r="G172" t="str">
        <f t="shared" si="4"/>
        <v>N</v>
      </c>
      <c r="H172" t="str">
        <f t="shared" si="5"/>
        <v>Nokia</v>
      </c>
      <c r="I172">
        <v>9981200170</v>
      </c>
    </row>
    <row r="173" spans="1:9" x14ac:dyDescent="0.3">
      <c r="A173" t="s">
        <v>178</v>
      </c>
      <c r="B173" t="s">
        <v>262</v>
      </c>
      <c r="C173">
        <v>28</v>
      </c>
      <c r="D173" t="s">
        <v>283</v>
      </c>
      <c r="F173" t="s">
        <v>285</v>
      </c>
      <c r="G173" t="str">
        <f t="shared" si="4"/>
        <v>Y</v>
      </c>
      <c r="H173" t="str">
        <f t="shared" si="5"/>
        <v>Nokia</v>
      </c>
      <c r="I173">
        <v>9981200171</v>
      </c>
    </row>
    <row r="174" spans="1:9" x14ac:dyDescent="0.3">
      <c r="A174" t="s">
        <v>179</v>
      </c>
      <c r="B174" t="s">
        <v>263</v>
      </c>
      <c r="C174">
        <v>28</v>
      </c>
      <c r="D174" t="s">
        <v>284</v>
      </c>
      <c r="F174" t="s">
        <v>285</v>
      </c>
      <c r="G174" t="str">
        <f t="shared" si="4"/>
        <v>Y</v>
      </c>
      <c r="H174" t="str">
        <f t="shared" si="5"/>
        <v>Nokia</v>
      </c>
      <c r="I174">
        <v>9981200172</v>
      </c>
    </row>
    <row r="175" spans="1:9" x14ac:dyDescent="0.3">
      <c r="A175" t="s">
        <v>180</v>
      </c>
      <c r="B175" t="s">
        <v>264</v>
      </c>
      <c r="C175">
        <v>28</v>
      </c>
      <c r="D175" t="s">
        <v>283</v>
      </c>
      <c r="F175" t="s">
        <v>285</v>
      </c>
      <c r="G175" t="str">
        <f t="shared" si="4"/>
        <v>Y</v>
      </c>
      <c r="H175" t="str">
        <f t="shared" si="5"/>
        <v>Nokia</v>
      </c>
      <c r="I175">
        <v>9981200173</v>
      </c>
    </row>
    <row r="176" spans="1:9" x14ac:dyDescent="0.3">
      <c r="A176" t="s">
        <v>181</v>
      </c>
      <c r="B176" t="s">
        <v>265</v>
      </c>
      <c r="C176">
        <v>28</v>
      </c>
      <c r="D176" t="s">
        <v>283</v>
      </c>
      <c r="F176" t="s">
        <v>285</v>
      </c>
      <c r="G176" t="str">
        <f t="shared" si="4"/>
        <v>Y</v>
      </c>
      <c r="H176" t="str">
        <f t="shared" si="5"/>
        <v>Nokia</v>
      </c>
      <c r="I176">
        <v>9981200174</v>
      </c>
    </row>
    <row r="177" spans="1:9" x14ac:dyDescent="0.3">
      <c r="A177" t="s">
        <v>182</v>
      </c>
      <c r="B177" t="s">
        <v>266</v>
      </c>
      <c r="C177">
        <v>28</v>
      </c>
      <c r="D177" t="s">
        <v>283</v>
      </c>
      <c r="F177" t="s">
        <v>285</v>
      </c>
      <c r="G177" t="str">
        <f t="shared" si="4"/>
        <v>Y</v>
      </c>
      <c r="H177" t="str">
        <f t="shared" si="5"/>
        <v>Nokia</v>
      </c>
      <c r="I177">
        <v>9981200175</v>
      </c>
    </row>
    <row r="178" spans="1:9" x14ac:dyDescent="0.3">
      <c r="A178" t="s">
        <v>183</v>
      </c>
      <c r="B178" t="s">
        <v>267</v>
      </c>
      <c r="C178">
        <v>28</v>
      </c>
      <c r="D178" t="s">
        <v>284</v>
      </c>
      <c r="F178" t="s">
        <v>286</v>
      </c>
      <c r="G178" t="str">
        <f t="shared" si="4"/>
        <v>N</v>
      </c>
      <c r="H178" t="str">
        <f t="shared" si="5"/>
        <v>Nokia</v>
      </c>
      <c r="I178">
        <v>9981200176</v>
      </c>
    </row>
    <row r="179" spans="1:9" x14ac:dyDescent="0.3">
      <c r="A179" t="s">
        <v>184</v>
      </c>
      <c r="B179" t="s">
        <v>268</v>
      </c>
      <c r="C179">
        <v>28</v>
      </c>
      <c r="D179" t="s">
        <v>283</v>
      </c>
      <c r="F179" t="s">
        <v>286</v>
      </c>
      <c r="G179" t="str">
        <f t="shared" si="4"/>
        <v>N</v>
      </c>
      <c r="H179" t="str">
        <f t="shared" si="5"/>
        <v>Nokia</v>
      </c>
      <c r="I179">
        <v>9981200177</v>
      </c>
    </row>
    <row r="180" spans="1:9" x14ac:dyDescent="0.3">
      <c r="A180" t="s">
        <v>185</v>
      </c>
      <c r="B180" t="s">
        <v>269</v>
      </c>
      <c r="C180">
        <v>28</v>
      </c>
      <c r="D180" t="s">
        <v>283</v>
      </c>
      <c r="F180" t="s">
        <v>286</v>
      </c>
      <c r="G180" t="str">
        <f t="shared" si="4"/>
        <v>N</v>
      </c>
      <c r="H180" t="str">
        <f t="shared" si="5"/>
        <v>Nokia</v>
      </c>
      <c r="I180">
        <v>9981200178</v>
      </c>
    </row>
    <row r="181" spans="1:9" x14ac:dyDescent="0.3">
      <c r="A181" t="s">
        <v>186</v>
      </c>
      <c r="B181" t="s">
        <v>270</v>
      </c>
      <c r="C181">
        <v>28</v>
      </c>
      <c r="D181" t="s">
        <v>283</v>
      </c>
      <c r="F181" t="s">
        <v>286</v>
      </c>
      <c r="G181" t="str">
        <f t="shared" si="4"/>
        <v>N</v>
      </c>
      <c r="H181" t="str">
        <f t="shared" si="5"/>
        <v>Nokia</v>
      </c>
      <c r="I181">
        <v>9981200179</v>
      </c>
    </row>
    <row r="182" spans="1:9" x14ac:dyDescent="0.3">
      <c r="A182" t="s">
        <v>187</v>
      </c>
      <c r="B182" t="s">
        <v>271</v>
      </c>
      <c r="C182">
        <v>28</v>
      </c>
      <c r="D182" t="s">
        <v>283</v>
      </c>
      <c r="F182" t="s">
        <v>285</v>
      </c>
      <c r="G182" t="str">
        <f t="shared" si="4"/>
        <v>Y</v>
      </c>
      <c r="H182" t="str">
        <f t="shared" si="5"/>
        <v>Nokia</v>
      </c>
      <c r="I182">
        <v>9981200180</v>
      </c>
    </row>
    <row r="183" spans="1:9" x14ac:dyDescent="0.3">
      <c r="A183" t="s">
        <v>188</v>
      </c>
      <c r="B183" t="s">
        <v>272</v>
      </c>
      <c r="C183">
        <v>25</v>
      </c>
      <c r="D183" t="s">
        <v>284</v>
      </c>
      <c r="F183" t="s">
        <v>285</v>
      </c>
      <c r="G183" t="str">
        <f t="shared" si="4"/>
        <v>Y</v>
      </c>
      <c r="H183" t="str">
        <f t="shared" si="5"/>
        <v>Volcano</v>
      </c>
      <c r="I183">
        <v>9981200181</v>
      </c>
    </row>
    <row r="184" spans="1:9" x14ac:dyDescent="0.3">
      <c r="A184" t="s">
        <v>189</v>
      </c>
      <c r="B184" t="s">
        <v>273</v>
      </c>
      <c r="C184">
        <v>27</v>
      </c>
      <c r="D184" t="s">
        <v>284</v>
      </c>
      <c r="F184" t="s">
        <v>286</v>
      </c>
      <c r="G184" t="str">
        <f t="shared" si="4"/>
        <v>N</v>
      </c>
      <c r="H184" t="str">
        <f t="shared" si="5"/>
        <v>Nokia</v>
      </c>
      <c r="I184">
        <v>9981200182</v>
      </c>
    </row>
    <row r="185" spans="1:9" x14ac:dyDescent="0.3">
      <c r="A185" t="s">
        <v>190</v>
      </c>
      <c r="B185" t="s">
        <v>274</v>
      </c>
      <c r="C185">
        <v>23</v>
      </c>
      <c r="D185" t="s">
        <v>284</v>
      </c>
      <c r="F185" t="s">
        <v>286</v>
      </c>
      <c r="G185" t="str">
        <f t="shared" si="4"/>
        <v>N</v>
      </c>
      <c r="H185" t="str">
        <f t="shared" si="5"/>
        <v>Volcano</v>
      </c>
      <c r="I185">
        <v>9981200183</v>
      </c>
    </row>
    <row r="186" spans="1:9" x14ac:dyDescent="0.3">
      <c r="A186" t="s">
        <v>191</v>
      </c>
      <c r="B186" t="s">
        <v>275</v>
      </c>
      <c r="C186">
        <v>24</v>
      </c>
      <c r="D186" t="s">
        <v>284</v>
      </c>
      <c r="F186" t="s">
        <v>286</v>
      </c>
      <c r="G186" t="str">
        <f t="shared" si="4"/>
        <v>N</v>
      </c>
      <c r="H186" t="str">
        <f t="shared" si="5"/>
        <v>Volcano</v>
      </c>
      <c r="I186">
        <v>9981200184</v>
      </c>
    </row>
    <row r="187" spans="1:9" x14ac:dyDescent="0.3">
      <c r="A187" t="s">
        <v>192</v>
      </c>
      <c r="B187" t="s">
        <v>276</v>
      </c>
      <c r="C187">
        <v>25</v>
      </c>
      <c r="D187" t="s">
        <v>283</v>
      </c>
      <c r="F187" t="s">
        <v>285</v>
      </c>
      <c r="G187" t="str">
        <f t="shared" si="4"/>
        <v>Y</v>
      </c>
      <c r="H187" t="str">
        <f t="shared" si="5"/>
        <v>Volcano</v>
      </c>
      <c r="I187">
        <v>9981200185</v>
      </c>
    </row>
    <row r="188" spans="1:9" x14ac:dyDescent="0.3">
      <c r="A188" t="s">
        <v>193</v>
      </c>
      <c r="B188" t="s">
        <v>277</v>
      </c>
      <c r="C188">
        <v>27</v>
      </c>
      <c r="D188" t="s">
        <v>284</v>
      </c>
      <c r="F188" t="s">
        <v>285</v>
      </c>
      <c r="G188" t="str">
        <f t="shared" si="4"/>
        <v>Y</v>
      </c>
      <c r="H188" t="str">
        <f t="shared" si="5"/>
        <v>Nokia</v>
      </c>
      <c r="I188">
        <v>9981200186</v>
      </c>
    </row>
    <row r="189" spans="1:9" x14ac:dyDescent="0.3">
      <c r="A189" t="s">
        <v>194</v>
      </c>
      <c r="B189" t="s">
        <v>278</v>
      </c>
      <c r="C189">
        <v>24</v>
      </c>
      <c r="D189" t="s">
        <v>284</v>
      </c>
      <c r="F189" t="s">
        <v>286</v>
      </c>
      <c r="G189" t="str">
        <f t="shared" si="4"/>
        <v>N</v>
      </c>
      <c r="H189" t="str">
        <f t="shared" si="5"/>
        <v>Volcano</v>
      </c>
      <c r="I189">
        <v>9981200187</v>
      </c>
    </row>
    <row r="190" spans="1:9" x14ac:dyDescent="0.3">
      <c r="A190" t="s">
        <v>195</v>
      </c>
      <c r="B190" t="s">
        <v>279</v>
      </c>
      <c r="C190">
        <v>25</v>
      </c>
      <c r="D190" t="s">
        <v>283</v>
      </c>
      <c r="F190" t="s">
        <v>286</v>
      </c>
      <c r="G190" t="str">
        <f t="shared" si="4"/>
        <v>N</v>
      </c>
      <c r="H190" t="str">
        <f t="shared" si="5"/>
        <v>Volcano</v>
      </c>
      <c r="I190">
        <v>9981200188</v>
      </c>
    </row>
    <row r="191" spans="1:9" x14ac:dyDescent="0.3">
      <c r="A191" t="s">
        <v>196</v>
      </c>
      <c r="B191" t="s">
        <v>280</v>
      </c>
      <c r="C191">
        <v>27</v>
      </c>
      <c r="D191" t="s">
        <v>284</v>
      </c>
      <c r="F191" t="s">
        <v>285</v>
      </c>
      <c r="G191" t="str">
        <f t="shared" si="4"/>
        <v>Y</v>
      </c>
      <c r="H191" t="str">
        <f t="shared" si="5"/>
        <v>Nokia</v>
      </c>
      <c r="I191">
        <v>9981200189</v>
      </c>
    </row>
    <row r="192" spans="1:9" x14ac:dyDescent="0.3">
      <c r="A192" t="s">
        <v>197</v>
      </c>
      <c r="B192" t="s">
        <v>281</v>
      </c>
      <c r="C192">
        <v>23</v>
      </c>
      <c r="D192" t="s">
        <v>284</v>
      </c>
      <c r="F192" t="s">
        <v>285</v>
      </c>
      <c r="G192" t="str">
        <f t="shared" si="4"/>
        <v>Y</v>
      </c>
      <c r="H192" t="str">
        <f t="shared" si="5"/>
        <v>Volcano</v>
      </c>
      <c r="I192">
        <v>9981200190</v>
      </c>
    </row>
    <row r="193" spans="1:9" x14ac:dyDescent="0.3">
      <c r="A193" t="s">
        <v>198</v>
      </c>
      <c r="B193" t="s">
        <v>282</v>
      </c>
      <c r="C193">
        <v>24</v>
      </c>
      <c r="D193" t="s">
        <v>284</v>
      </c>
      <c r="F193" t="s">
        <v>286</v>
      </c>
      <c r="G193" t="str">
        <f t="shared" si="4"/>
        <v>N</v>
      </c>
      <c r="H193" t="str">
        <f t="shared" si="5"/>
        <v>Volcano</v>
      </c>
      <c r="I193">
        <v>9981200191</v>
      </c>
    </row>
    <row r="194" spans="1:9" x14ac:dyDescent="0.3">
      <c r="A194" t="s">
        <v>199</v>
      </c>
      <c r="B194" t="s">
        <v>259</v>
      </c>
      <c r="C194">
        <v>25</v>
      </c>
      <c r="D194" t="s">
        <v>283</v>
      </c>
      <c r="F194" t="s">
        <v>285</v>
      </c>
      <c r="G194" t="str">
        <f t="shared" si="4"/>
        <v>Y</v>
      </c>
      <c r="H194" t="str">
        <f t="shared" si="5"/>
        <v>Volcano</v>
      </c>
      <c r="I194">
        <v>9981200192</v>
      </c>
    </row>
    <row r="195" spans="1:9" x14ac:dyDescent="0.3">
      <c r="A195" t="s">
        <v>200</v>
      </c>
      <c r="B195" t="s">
        <v>260</v>
      </c>
      <c r="C195">
        <v>26</v>
      </c>
      <c r="D195" t="s">
        <v>283</v>
      </c>
      <c r="F195" t="s">
        <v>285</v>
      </c>
      <c r="G195" t="str">
        <f t="shared" ref="G195:G252" si="6">IF(F195="Paid","Y","N")</f>
        <v>Y</v>
      </c>
      <c r="H195" t="str">
        <f t="shared" ref="H195:H252" si="7">IF(C195&lt;23,"Aircel",IF(C195&lt;26,"Volcano","Nokia"))</f>
        <v>Nokia</v>
      </c>
      <c r="I195">
        <v>9981200193</v>
      </c>
    </row>
    <row r="196" spans="1:9" x14ac:dyDescent="0.3">
      <c r="A196" t="s">
        <v>201</v>
      </c>
      <c r="B196" t="s">
        <v>261</v>
      </c>
      <c r="C196">
        <v>28</v>
      </c>
      <c r="D196" t="s">
        <v>284</v>
      </c>
      <c r="F196" t="s">
        <v>286</v>
      </c>
      <c r="G196" t="str">
        <f t="shared" si="6"/>
        <v>N</v>
      </c>
      <c r="H196" t="str">
        <f t="shared" si="7"/>
        <v>Nokia</v>
      </c>
      <c r="I196">
        <v>9981200194</v>
      </c>
    </row>
    <row r="197" spans="1:9" x14ac:dyDescent="0.3">
      <c r="A197" t="s">
        <v>202</v>
      </c>
      <c r="B197" t="s">
        <v>262</v>
      </c>
      <c r="C197">
        <v>28</v>
      </c>
      <c r="D197" t="s">
        <v>283</v>
      </c>
      <c r="F197" t="s">
        <v>285</v>
      </c>
      <c r="G197" t="str">
        <f t="shared" si="6"/>
        <v>Y</v>
      </c>
      <c r="H197" t="str">
        <f t="shared" si="7"/>
        <v>Nokia</v>
      </c>
      <c r="I197">
        <v>9981200195</v>
      </c>
    </row>
    <row r="198" spans="1:9" x14ac:dyDescent="0.3">
      <c r="A198" t="s">
        <v>203</v>
      </c>
      <c r="B198" t="s">
        <v>263</v>
      </c>
      <c r="C198">
        <v>28</v>
      </c>
      <c r="D198" t="s">
        <v>284</v>
      </c>
      <c r="F198" t="s">
        <v>285</v>
      </c>
      <c r="G198" t="str">
        <f t="shared" si="6"/>
        <v>Y</v>
      </c>
      <c r="H198" t="str">
        <f t="shared" si="7"/>
        <v>Nokia</v>
      </c>
      <c r="I198">
        <v>9981200196</v>
      </c>
    </row>
    <row r="199" spans="1:9" x14ac:dyDescent="0.3">
      <c r="A199" t="s">
        <v>204</v>
      </c>
      <c r="B199" t="s">
        <v>264</v>
      </c>
      <c r="C199">
        <v>28</v>
      </c>
      <c r="D199" t="s">
        <v>283</v>
      </c>
      <c r="F199" t="s">
        <v>285</v>
      </c>
      <c r="G199" t="str">
        <f t="shared" si="6"/>
        <v>Y</v>
      </c>
      <c r="H199" t="str">
        <f t="shared" si="7"/>
        <v>Nokia</v>
      </c>
      <c r="I199">
        <v>9981200197</v>
      </c>
    </row>
    <row r="200" spans="1:9" x14ac:dyDescent="0.3">
      <c r="A200" t="s">
        <v>205</v>
      </c>
      <c r="B200" t="s">
        <v>265</v>
      </c>
      <c r="C200">
        <v>28</v>
      </c>
      <c r="D200" t="s">
        <v>283</v>
      </c>
      <c r="F200" t="s">
        <v>285</v>
      </c>
      <c r="G200" t="str">
        <f t="shared" si="6"/>
        <v>Y</v>
      </c>
      <c r="H200" t="str">
        <f t="shared" si="7"/>
        <v>Nokia</v>
      </c>
      <c r="I200">
        <v>9981200198</v>
      </c>
    </row>
    <row r="201" spans="1:9" x14ac:dyDescent="0.3">
      <c r="A201" t="s">
        <v>206</v>
      </c>
      <c r="B201" t="s">
        <v>266</v>
      </c>
      <c r="C201">
        <v>28</v>
      </c>
      <c r="D201" t="s">
        <v>283</v>
      </c>
      <c r="F201" t="s">
        <v>285</v>
      </c>
      <c r="G201" t="str">
        <f t="shared" si="6"/>
        <v>Y</v>
      </c>
      <c r="H201" t="str">
        <f t="shared" si="7"/>
        <v>Nokia</v>
      </c>
      <c r="I201">
        <v>9981200199</v>
      </c>
    </row>
    <row r="202" spans="1:9" x14ac:dyDescent="0.3">
      <c r="A202" t="s">
        <v>207</v>
      </c>
      <c r="B202" t="s">
        <v>267</v>
      </c>
      <c r="C202">
        <v>28</v>
      </c>
      <c r="D202" t="s">
        <v>284</v>
      </c>
      <c r="F202" t="s">
        <v>286</v>
      </c>
      <c r="G202" t="str">
        <f t="shared" si="6"/>
        <v>N</v>
      </c>
      <c r="H202" t="str">
        <f t="shared" si="7"/>
        <v>Nokia</v>
      </c>
      <c r="I202">
        <v>9981200200</v>
      </c>
    </row>
    <row r="203" spans="1:9" x14ac:dyDescent="0.3">
      <c r="A203" t="s">
        <v>208</v>
      </c>
      <c r="B203" t="s">
        <v>268</v>
      </c>
      <c r="C203">
        <v>28</v>
      </c>
      <c r="D203" t="s">
        <v>283</v>
      </c>
      <c r="F203" t="s">
        <v>286</v>
      </c>
      <c r="G203" t="str">
        <f t="shared" si="6"/>
        <v>N</v>
      </c>
      <c r="H203" t="str">
        <f t="shared" si="7"/>
        <v>Nokia</v>
      </c>
      <c r="I203">
        <v>9981200201</v>
      </c>
    </row>
    <row r="204" spans="1:9" x14ac:dyDescent="0.3">
      <c r="A204" t="s">
        <v>209</v>
      </c>
      <c r="B204" t="s">
        <v>269</v>
      </c>
      <c r="C204">
        <v>28</v>
      </c>
      <c r="D204" t="s">
        <v>283</v>
      </c>
      <c r="F204" t="s">
        <v>286</v>
      </c>
      <c r="G204" t="str">
        <f t="shared" si="6"/>
        <v>N</v>
      </c>
      <c r="H204" t="str">
        <f t="shared" si="7"/>
        <v>Nokia</v>
      </c>
      <c r="I204">
        <v>9981200202</v>
      </c>
    </row>
    <row r="205" spans="1:9" x14ac:dyDescent="0.3">
      <c r="A205" t="s">
        <v>210</v>
      </c>
      <c r="B205" t="s">
        <v>270</v>
      </c>
      <c r="C205">
        <v>28</v>
      </c>
      <c r="D205" t="s">
        <v>283</v>
      </c>
      <c r="F205" t="s">
        <v>286</v>
      </c>
      <c r="G205" t="str">
        <f t="shared" si="6"/>
        <v>N</v>
      </c>
      <c r="H205" t="str">
        <f t="shared" si="7"/>
        <v>Nokia</v>
      </c>
      <c r="I205">
        <v>9981200203</v>
      </c>
    </row>
    <row r="206" spans="1:9" x14ac:dyDescent="0.3">
      <c r="A206" t="s">
        <v>211</v>
      </c>
      <c r="B206" t="s">
        <v>271</v>
      </c>
      <c r="C206">
        <v>25</v>
      </c>
      <c r="D206" t="s">
        <v>283</v>
      </c>
      <c r="F206" t="s">
        <v>285</v>
      </c>
      <c r="G206" t="str">
        <f t="shared" si="6"/>
        <v>Y</v>
      </c>
      <c r="H206" t="str">
        <f t="shared" si="7"/>
        <v>Volcano</v>
      </c>
      <c r="I206">
        <v>9981200204</v>
      </c>
    </row>
    <row r="207" spans="1:9" x14ac:dyDescent="0.3">
      <c r="A207" t="s">
        <v>212</v>
      </c>
      <c r="B207" t="s">
        <v>272</v>
      </c>
      <c r="C207">
        <v>27</v>
      </c>
      <c r="D207" t="s">
        <v>284</v>
      </c>
      <c r="F207" t="s">
        <v>285</v>
      </c>
      <c r="G207" t="str">
        <f t="shared" si="6"/>
        <v>Y</v>
      </c>
      <c r="H207" t="str">
        <f t="shared" si="7"/>
        <v>Nokia</v>
      </c>
      <c r="I207">
        <v>9981200205</v>
      </c>
    </row>
    <row r="208" spans="1:9" x14ac:dyDescent="0.3">
      <c r="A208" t="s">
        <v>213</v>
      </c>
      <c r="B208" t="s">
        <v>273</v>
      </c>
      <c r="C208">
        <v>23</v>
      </c>
      <c r="D208" t="s">
        <v>284</v>
      </c>
      <c r="F208" t="s">
        <v>286</v>
      </c>
      <c r="G208" t="str">
        <f t="shared" si="6"/>
        <v>N</v>
      </c>
      <c r="H208" t="str">
        <f t="shared" si="7"/>
        <v>Volcano</v>
      </c>
      <c r="I208">
        <v>9981200206</v>
      </c>
    </row>
    <row r="209" spans="1:9" x14ac:dyDescent="0.3">
      <c r="A209" t="s">
        <v>214</v>
      </c>
      <c r="B209" t="s">
        <v>274</v>
      </c>
      <c r="C209">
        <v>24</v>
      </c>
      <c r="D209" t="s">
        <v>284</v>
      </c>
      <c r="F209" t="s">
        <v>286</v>
      </c>
      <c r="G209" t="str">
        <f t="shared" si="6"/>
        <v>N</v>
      </c>
      <c r="H209" t="str">
        <f t="shared" si="7"/>
        <v>Volcano</v>
      </c>
      <c r="I209">
        <v>9981200207</v>
      </c>
    </row>
    <row r="210" spans="1:9" x14ac:dyDescent="0.3">
      <c r="A210" t="s">
        <v>215</v>
      </c>
      <c r="B210" t="s">
        <v>275</v>
      </c>
      <c r="C210">
        <v>25</v>
      </c>
      <c r="D210" t="s">
        <v>284</v>
      </c>
      <c r="F210" t="s">
        <v>286</v>
      </c>
      <c r="G210" t="str">
        <f t="shared" si="6"/>
        <v>N</v>
      </c>
      <c r="H210" t="str">
        <f t="shared" si="7"/>
        <v>Volcano</v>
      </c>
      <c r="I210">
        <v>9981200208</v>
      </c>
    </row>
    <row r="211" spans="1:9" x14ac:dyDescent="0.3">
      <c r="A211" t="s">
        <v>216</v>
      </c>
      <c r="B211" t="s">
        <v>276</v>
      </c>
      <c r="C211">
        <v>27</v>
      </c>
      <c r="D211" t="s">
        <v>283</v>
      </c>
      <c r="F211" t="s">
        <v>285</v>
      </c>
      <c r="G211" t="str">
        <f t="shared" si="6"/>
        <v>Y</v>
      </c>
      <c r="H211" t="str">
        <f t="shared" si="7"/>
        <v>Nokia</v>
      </c>
      <c r="I211">
        <v>9981200209</v>
      </c>
    </row>
    <row r="212" spans="1:9" x14ac:dyDescent="0.3">
      <c r="A212" t="s">
        <v>217</v>
      </c>
      <c r="B212" t="s">
        <v>277</v>
      </c>
      <c r="C212">
        <v>27</v>
      </c>
      <c r="D212" t="s">
        <v>284</v>
      </c>
      <c r="F212" t="s">
        <v>285</v>
      </c>
      <c r="G212" t="str">
        <f t="shared" si="6"/>
        <v>Y</v>
      </c>
      <c r="H212" t="str">
        <f t="shared" si="7"/>
        <v>Nokia</v>
      </c>
      <c r="I212">
        <v>9981200210</v>
      </c>
    </row>
    <row r="213" spans="1:9" x14ac:dyDescent="0.3">
      <c r="A213" t="s">
        <v>218</v>
      </c>
      <c r="B213" t="s">
        <v>278</v>
      </c>
      <c r="C213">
        <v>24</v>
      </c>
      <c r="D213" t="s">
        <v>284</v>
      </c>
      <c r="F213" t="s">
        <v>286</v>
      </c>
      <c r="G213" t="str">
        <f t="shared" si="6"/>
        <v>N</v>
      </c>
      <c r="H213" t="str">
        <f t="shared" si="7"/>
        <v>Volcano</v>
      </c>
      <c r="I213">
        <v>9981200211</v>
      </c>
    </row>
    <row r="214" spans="1:9" x14ac:dyDescent="0.3">
      <c r="A214" t="s">
        <v>219</v>
      </c>
      <c r="B214" t="s">
        <v>279</v>
      </c>
      <c r="C214">
        <v>25</v>
      </c>
      <c r="D214" t="s">
        <v>283</v>
      </c>
      <c r="F214" t="s">
        <v>286</v>
      </c>
      <c r="G214" t="str">
        <f t="shared" si="6"/>
        <v>N</v>
      </c>
      <c r="H214" t="str">
        <f t="shared" si="7"/>
        <v>Volcano</v>
      </c>
      <c r="I214">
        <v>9981200212</v>
      </c>
    </row>
    <row r="215" spans="1:9" x14ac:dyDescent="0.3">
      <c r="A215" t="s">
        <v>220</v>
      </c>
      <c r="B215" t="s">
        <v>280</v>
      </c>
      <c r="C215">
        <v>27</v>
      </c>
      <c r="D215" t="s">
        <v>284</v>
      </c>
      <c r="F215" t="s">
        <v>285</v>
      </c>
      <c r="G215" t="str">
        <f t="shared" si="6"/>
        <v>Y</v>
      </c>
      <c r="H215" t="str">
        <f t="shared" si="7"/>
        <v>Nokia</v>
      </c>
      <c r="I215">
        <v>9981200213</v>
      </c>
    </row>
    <row r="216" spans="1:9" x14ac:dyDescent="0.3">
      <c r="A216" t="s">
        <v>221</v>
      </c>
      <c r="B216" t="s">
        <v>281</v>
      </c>
      <c r="C216">
        <v>23</v>
      </c>
      <c r="D216" t="s">
        <v>284</v>
      </c>
      <c r="F216" t="s">
        <v>285</v>
      </c>
      <c r="G216" t="str">
        <f t="shared" si="6"/>
        <v>Y</v>
      </c>
      <c r="H216" t="str">
        <f t="shared" si="7"/>
        <v>Volcano</v>
      </c>
      <c r="I216">
        <v>9981200214</v>
      </c>
    </row>
    <row r="217" spans="1:9" x14ac:dyDescent="0.3">
      <c r="A217" t="s">
        <v>222</v>
      </c>
      <c r="B217" t="s">
        <v>282</v>
      </c>
      <c r="C217">
        <v>24</v>
      </c>
      <c r="D217" t="s">
        <v>284</v>
      </c>
      <c r="F217" t="s">
        <v>286</v>
      </c>
      <c r="G217" t="str">
        <f t="shared" si="6"/>
        <v>N</v>
      </c>
      <c r="H217" t="str">
        <f t="shared" si="7"/>
        <v>Volcano</v>
      </c>
      <c r="I217">
        <v>9981200215</v>
      </c>
    </row>
    <row r="218" spans="1:9" x14ac:dyDescent="0.3">
      <c r="A218" t="s">
        <v>223</v>
      </c>
      <c r="B218" t="s">
        <v>259</v>
      </c>
      <c r="C218">
        <v>25</v>
      </c>
      <c r="D218" t="s">
        <v>283</v>
      </c>
      <c r="F218" t="s">
        <v>285</v>
      </c>
      <c r="G218" t="str">
        <f t="shared" si="6"/>
        <v>Y</v>
      </c>
      <c r="H218" t="str">
        <f t="shared" si="7"/>
        <v>Volcano</v>
      </c>
      <c r="I218">
        <v>9981200216</v>
      </c>
    </row>
    <row r="219" spans="1:9" x14ac:dyDescent="0.3">
      <c r="A219" t="s">
        <v>224</v>
      </c>
      <c r="B219" t="s">
        <v>260</v>
      </c>
      <c r="C219">
        <v>27</v>
      </c>
      <c r="D219" t="s">
        <v>283</v>
      </c>
      <c r="F219" t="s">
        <v>285</v>
      </c>
      <c r="G219" t="str">
        <f t="shared" si="6"/>
        <v>Y</v>
      </c>
      <c r="H219" t="str">
        <f t="shared" si="7"/>
        <v>Nokia</v>
      </c>
      <c r="I219">
        <v>9981200217</v>
      </c>
    </row>
    <row r="220" spans="1:9" x14ac:dyDescent="0.3">
      <c r="A220" t="s">
        <v>225</v>
      </c>
      <c r="B220" t="s">
        <v>261</v>
      </c>
      <c r="C220">
        <v>23</v>
      </c>
      <c r="D220" t="s">
        <v>284</v>
      </c>
      <c r="F220" t="s">
        <v>286</v>
      </c>
      <c r="G220" t="str">
        <f t="shared" si="6"/>
        <v>N</v>
      </c>
      <c r="H220" t="str">
        <f t="shared" si="7"/>
        <v>Volcano</v>
      </c>
      <c r="I220">
        <v>9981200218</v>
      </c>
    </row>
    <row r="221" spans="1:9" x14ac:dyDescent="0.3">
      <c r="A221" t="s">
        <v>226</v>
      </c>
      <c r="B221" t="s">
        <v>262</v>
      </c>
      <c r="C221">
        <v>24</v>
      </c>
      <c r="D221" t="s">
        <v>283</v>
      </c>
      <c r="F221" t="s">
        <v>285</v>
      </c>
      <c r="G221" t="str">
        <f t="shared" si="6"/>
        <v>Y</v>
      </c>
      <c r="H221" t="str">
        <f t="shared" si="7"/>
        <v>Volcano</v>
      </c>
      <c r="I221">
        <v>9981200219</v>
      </c>
    </row>
    <row r="222" spans="1:9" x14ac:dyDescent="0.3">
      <c r="A222" t="s">
        <v>227</v>
      </c>
      <c r="B222" t="s">
        <v>263</v>
      </c>
      <c r="C222">
        <v>25</v>
      </c>
      <c r="D222" t="s">
        <v>284</v>
      </c>
      <c r="F222" t="s">
        <v>285</v>
      </c>
      <c r="G222" t="str">
        <f t="shared" si="6"/>
        <v>Y</v>
      </c>
      <c r="H222" t="str">
        <f t="shared" si="7"/>
        <v>Volcano</v>
      </c>
      <c r="I222">
        <v>9981200220</v>
      </c>
    </row>
    <row r="223" spans="1:9" x14ac:dyDescent="0.3">
      <c r="A223" t="s">
        <v>228</v>
      </c>
      <c r="B223" t="s">
        <v>264</v>
      </c>
      <c r="C223">
        <v>26</v>
      </c>
      <c r="D223" t="s">
        <v>283</v>
      </c>
      <c r="F223" t="s">
        <v>285</v>
      </c>
      <c r="G223" t="str">
        <f t="shared" si="6"/>
        <v>Y</v>
      </c>
      <c r="H223" t="str">
        <f t="shared" si="7"/>
        <v>Nokia</v>
      </c>
      <c r="I223">
        <v>9981200221</v>
      </c>
    </row>
    <row r="224" spans="1:9" x14ac:dyDescent="0.3">
      <c r="A224" t="s">
        <v>229</v>
      </c>
      <c r="B224" t="s">
        <v>265</v>
      </c>
      <c r="C224">
        <v>28</v>
      </c>
      <c r="D224" t="s">
        <v>283</v>
      </c>
      <c r="F224" t="s">
        <v>285</v>
      </c>
      <c r="G224" t="str">
        <f t="shared" si="6"/>
        <v>Y</v>
      </c>
      <c r="H224" t="str">
        <f t="shared" si="7"/>
        <v>Nokia</v>
      </c>
      <c r="I224">
        <v>9981200222</v>
      </c>
    </row>
    <row r="225" spans="1:9" x14ac:dyDescent="0.3">
      <c r="A225" t="s">
        <v>230</v>
      </c>
      <c r="B225" t="s">
        <v>266</v>
      </c>
      <c r="C225">
        <v>28</v>
      </c>
      <c r="D225" t="s">
        <v>283</v>
      </c>
      <c r="F225" t="s">
        <v>285</v>
      </c>
      <c r="G225" t="str">
        <f t="shared" si="6"/>
        <v>Y</v>
      </c>
      <c r="H225" t="str">
        <f t="shared" si="7"/>
        <v>Nokia</v>
      </c>
      <c r="I225">
        <v>9981200223</v>
      </c>
    </row>
    <row r="226" spans="1:9" x14ac:dyDescent="0.3">
      <c r="A226" t="s">
        <v>231</v>
      </c>
      <c r="B226" t="s">
        <v>267</v>
      </c>
      <c r="C226">
        <v>28</v>
      </c>
      <c r="D226" t="s">
        <v>284</v>
      </c>
      <c r="F226" t="s">
        <v>286</v>
      </c>
      <c r="G226" t="str">
        <f t="shared" si="6"/>
        <v>N</v>
      </c>
      <c r="H226" t="str">
        <f t="shared" si="7"/>
        <v>Nokia</v>
      </c>
      <c r="I226">
        <v>9981200224</v>
      </c>
    </row>
    <row r="227" spans="1:9" x14ac:dyDescent="0.3">
      <c r="A227" t="s">
        <v>232</v>
      </c>
      <c r="B227" t="s">
        <v>268</v>
      </c>
      <c r="C227">
        <v>28</v>
      </c>
      <c r="D227" t="s">
        <v>283</v>
      </c>
      <c r="F227" t="s">
        <v>286</v>
      </c>
      <c r="G227" t="str">
        <f t="shared" si="6"/>
        <v>N</v>
      </c>
      <c r="H227" t="str">
        <f t="shared" si="7"/>
        <v>Nokia</v>
      </c>
      <c r="I227">
        <v>9981200225</v>
      </c>
    </row>
    <row r="228" spans="1:9" x14ac:dyDescent="0.3">
      <c r="A228" t="s">
        <v>233</v>
      </c>
      <c r="B228" t="s">
        <v>269</v>
      </c>
      <c r="C228">
        <v>28</v>
      </c>
      <c r="D228" t="s">
        <v>283</v>
      </c>
      <c r="F228" t="s">
        <v>286</v>
      </c>
      <c r="G228" t="str">
        <f t="shared" si="6"/>
        <v>N</v>
      </c>
      <c r="H228" t="str">
        <f t="shared" si="7"/>
        <v>Nokia</v>
      </c>
      <c r="I228">
        <v>9981200226</v>
      </c>
    </row>
    <row r="229" spans="1:9" x14ac:dyDescent="0.3">
      <c r="A229" t="s">
        <v>234</v>
      </c>
      <c r="B229" t="s">
        <v>270</v>
      </c>
      <c r="C229">
        <v>28</v>
      </c>
      <c r="D229" t="s">
        <v>283</v>
      </c>
      <c r="F229" t="s">
        <v>286</v>
      </c>
      <c r="G229" t="str">
        <f t="shared" si="6"/>
        <v>N</v>
      </c>
      <c r="H229" t="str">
        <f t="shared" si="7"/>
        <v>Nokia</v>
      </c>
      <c r="I229">
        <v>9981200227</v>
      </c>
    </row>
    <row r="230" spans="1:9" x14ac:dyDescent="0.3">
      <c r="A230" t="s">
        <v>235</v>
      </c>
      <c r="B230" t="s">
        <v>271</v>
      </c>
      <c r="C230">
        <v>28</v>
      </c>
      <c r="D230" t="s">
        <v>283</v>
      </c>
      <c r="F230" t="s">
        <v>285</v>
      </c>
      <c r="G230" t="str">
        <f t="shared" si="6"/>
        <v>Y</v>
      </c>
      <c r="H230" t="str">
        <f t="shared" si="7"/>
        <v>Nokia</v>
      </c>
      <c r="I230">
        <v>9981200228</v>
      </c>
    </row>
    <row r="231" spans="1:9" x14ac:dyDescent="0.3">
      <c r="A231" t="s">
        <v>236</v>
      </c>
      <c r="B231" t="s">
        <v>272</v>
      </c>
      <c r="C231">
        <v>25</v>
      </c>
      <c r="D231" t="s">
        <v>284</v>
      </c>
      <c r="F231" t="s">
        <v>285</v>
      </c>
      <c r="G231" t="str">
        <f t="shared" si="6"/>
        <v>Y</v>
      </c>
      <c r="H231" t="str">
        <f t="shared" si="7"/>
        <v>Volcano</v>
      </c>
      <c r="I231">
        <v>9981200229</v>
      </c>
    </row>
    <row r="232" spans="1:9" x14ac:dyDescent="0.3">
      <c r="A232" t="s">
        <v>237</v>
      </c>
      <c r="B232" t="s">
        <v>273</v>
      </c>
      <c r="C232">
        <v>27</v>
      </c>
      <c r="D232" t="s">
        <v>284</v>
      </c>
      <c r="F232" t="s">
        <v>286</v>
      </c>
      <c r="G232" t="str">
        <f t="shared" si="6"/>
        <v>N</v>
      </c>
      <c r="H232" t="str">
        <f t="shared" si="7"/>
        <v>Nokia</v>
      </c>
      <c r="I232">
        <v>9981200230</v>
      </c>
    </row>
    <row r="233" spans="1:9" x14ac:dyDescent="0.3">
      <c r="A233" t="s">
        <v>238</v>
      </c>
      <c r="B233" t="s">
        <v>274</v>
      </c>
      <c r="C233">
        <v>23</v>
      </c>
      <c r="D233" t="s">
        <v>284</v>
      </c>
      <c r="F233" t="s">
        <v>286</v>
      </c>
      <c r="G233" t="str">
        <f t="shared" si="6"/>
        <v>N</v>
      </c>
      <c r="H233" t="str">
        <f t="shared" si="7"/>
        <v>Volcano</v>
      </c>
      <c r="I233">
        <v>9981200231</v>
      </c>
    </row>
    <row r="234" spans="1:9" x14ac:dyDescent="0.3">
      <c r="A234" t="s">
        <v>239</v>
      </c>
      <c r="B234" t="s">
        <v>275</v>
      </c>
      <c r="C234">
        <v>24</v>
      </c>
      <c r="D234" t="s">
        <v>284</v>
      </c>
      <c r="F234" t="s">
        <v>286</v>
      </c>
      <c r="G234" t="str">
        <f t="shared" si="6"/>
        <v>N</v>
      </c>
      <c r="H234" t="str">
        <f t="shared" si="7"/>
        <v>Volcano</v>
      </c>
      <c r="I234">
        <v>9981200232</v>
      </c>
    </row>
    <row r="235" spans="1:9" x14ac:dyDescent="0.3">
      <c r="A235" t="s">
        <v>240</v>
      </c>
      <c r="B235" t="s">
        <v>276</v>
      </c>
      <c r="C235">
        <v>25</v>
      </c>
      <c r="D235" t="s">
        <v>283</v>
      </c>
      <c r="F235" t="s">
        <v>285</v>
      </c>
      <c r="G235" t="str">
        <f t="shared" si="6"/>
        <v>Y</v>
      </c>
      <c r="H235" t="str">
        <f t="shared" si="7"/>
        <v>Volcano</v>
      </c>
      <c r="I235">
        <v>9981200233</v>
      </c>
    </row>
    <row r="236" spans="1:9" x14ac:dyDescent="0.3">
      <c r="A236" t="s">
        <v>241</v>
      </c>
      <c r="B236" t="s">
        <v>277</v>
      </c>
      <c r="C236">
        <v>27</v>
      </c>
      <c r="D236" t="s">
        <v>284</v>
      </c>
      <c r="F236" t="s">
        <v>285</v>
      </c>
      <c r="G236" t="str">
        <f t="shared" si="6"/>
        <v>Y</v>
      </c>
      <c r="H236" t="str">
        <f t="shared" si="7"/>
        <v>Nokia</v>
      </c>
      <c r="I236">
        <v>9981200234</v>
      </c>
    </row>
    <row r="237" spans="1:9" x14ac:dyDescent="0.3">
      <c r="A237" t="s">
        <v>242</v>
      </c>
      <c r="B237" t="s">
        <v>278</v>
      </c>
      <c r="C237">
        <v>23</v>
      </c>
      <c r="D237" t="s">
        <v>284</v>
      </c>
      <c r="F237" t="s">
        <v>286</v>
      </c>
      <c r="G237" t="str">
        <f t="shared" si="6"/>
        <v>N</v>
      </c>
      <c r="H237" t="str">
        <f t="shared" si="7"/>
        <v>Volcano</v>
      </c>
      <c r="I237">
        <v>9981200235</v>
      </c>
    </row>
    <row r="238" spans="1:9" x14ac:dyDescent="0.3">
      <c r="A238" t="s">
        <v>243</v>
      </c>
      <c r="B238" t="s">
        <v>279</v>
      </c>
      <c r="C238">
        <v>24</v>
      </c>
      <c r="D238" t="s">
        <v>283</v>
      </c>
      <c r="F238" t="s">
        <v>286</v>
      </c>
      <c r="G238" t="str">
        <f t="shared" si="6"/>
        <v>N</v>
      </c>
      <c r="H238" t="str">
        <f t="shared" si="7"/>
        <v>Volcano</v>
      </c>
      <c r="I238">
        <v>9981200236</v>
      </c>
    </row>
    <row r="239" spans="1:9" x14ac:dyDescent="0.3">
      <c r="A239" t="s">
        <v>244</v>
      </c>
      <c r="B239" t="s">
        <v>280</v>
      </c>
      <c r="C239">
        <v>25</v>
      </c>
      <c r="D239" t="s">
        <v>284</v>
      </c>
      <c r="F239" t="s">
        <v>285</v>
      </c>
      <c r="G239" t="str">
        <f t="shared" si="6"/>
        <v>Y</v>
      </c>
      <c r="H239" t="str">
        <f t="shared" si="7"/>
        <v>Volcano</v>
      </c>
      <c r="I239">
        <v>9981200237</v>
      </c>
    </row>
    <row r="240" spans="1:9" x14ac:dyDescent="0.3">
      <c r="A240" t="s">
        <v>245</v>
      </c>
      <c r="B240" t="s">
        <v>281</v>
      </c>
      <c r="C240">
        <v>26</v>
      </c>
      <c r="D240" t="s">
        <v>284</v>
      </c>
      <c r="F240" t="s">
        <v>285</v>
      </c>
      <c r="G240" t="str">
        <f t="shared" si="6"/>
        <v>Y</v>
      </c>
      <c r="H240" t="str">
        <f t="shared" si="7"/>
        <v>Nokia</v>
      </c>
      <c r="I240">
        <v>9981200238</v>
      </c>
    </row>
    <row r="241" spans="1:9" x14ac:dyDescent="0.3">
      <c r="A241" t="s">
        <v>246</v>
      </c>
      <c r="B241" t="s">
        <v>282</v>
      </c>
      <c r="C241">
        <v>28</v>
      </c>
      <c r="D241" t="s">
        <v>284</v>
      </c>
      <c r="F241" t="s">
        <v>286</v>
      </c>
      <c r="G241" t="str">
        <f t="shared" si="6"/>
        <v>N</v>
      </c>
      <c r="H241" t="str">
        <f t="shared" si="7"/>
        <v>Nokia</v>
      </c>
      <c r="I241">
        <v>9981200239</v>
      </c>
    </row>
    <row r="242" spans="1:9" x14ac:dyDescent="0.3">
      <c r="A242" t="s">
        <v>247</v>
      </c>
      <c r="B242" t="s">
        <v>259</v>
      </c>
      <c r="C242">
        <v>28</v>
      </c>
      <c r="D242" t="s">
        <v>283</v>
      </c>
      <c r="F242" t="s">
        <v>285</v>
      </c>
      <c r="G242" t="str">
        <f t="shared" si="6"/>
        <v>Y</v>
      </c>
      <c r="H242" t="str">
        <f t="shared" si="7"/>
        <v>Nokia</v>
      </c>
      <c r="I242">
        <v>9981200240</v>
      </c>
    </row>
    <row r="243" spans="1:9" x14ac:dyDescent="0.3">
      <c r="A243" t="s">
        <v>248</v>
      </c>
      <c r="B243" t="s">
        <v>260</v>
      </c>
      <c r="C243">
        <v>28</v>
      </c>
      <c r="D243" t="s">
        <v>283</v>
      </c>
      <c r="F243" t="s">
        <v>285</v>
      </c>
      <c r="G243" t="str">
        <f t="shared" si="6"/>
        <v>Y</v>
      </c>
      <c r="H243" t="str">
        <f t="shared" si="7"/>
        <v>Nokia</v>
      </c>
      <c r="I243">
        <v>9981200241</v>
      </c>
    </row>
    <row r="244" spans="1:9" x14ac:dyDescent="0.3">
      <c r="A244" t="s">
        <v>249</v>
      </c>
      <c r="B244" t="s">
        <v>261</v>
      </c>
      <c r="C244">
        <v>28</v>
      </c>
      <c r="D244" t="s">
        <v>284</v>
      </c>
      <c r="F244" t="s">
        <v>286</v>
      </c>
      <c r="G244" t="str">
        <f t="shared" si="6"/>
        <v>N</v>
      </c>
      <c r="H244" t="str">
        <f t="shared" si="7"/>
        <v>Nokia</v>
      </c>
      <c r="I244">
        <v>9981200242</v>
      </c>
    </row>
    <row r="245" spans="1:9" x14ac:dyDescent="0.3">
      <c r="A245" t="s">
        <v>250</v>
      </c>
      <c r="B245" t="s">
        <v>262</v>
      </c>
      <c r="C245">
        <v>28</v>
      </c>
      <c r="D245" t="s">
        <v>283</v>
      </c>
      <c r="F245" t="s">
        <v>285</v>
      </c>
      <c r="G245" t="str">
        <f t="shared" si="6"/>
        <v>Y</v>
      </c>
      <c r="H245" t="str">
        <f t="shared" si="7"/>
        <v>Nokia</v>
      </c>
      <c r="I245">
        <v>9981200243</v>
      </c>
    </row>
    <row r="246" spans="1:9" x14ac:dyDescent="0.3">
      <c r="A246" t="s">
        <v>251</v>
      </c>
      <c r="B246" t="s">
        <v>263</v>
      </c>
      <c r="C246">
        <v>28</v>
      </c>
      <c r="D246" t="s">
        <v>284</v>
      </c>
      <c r="F246" t="s">
        <v>285</v>
      </c>
      <c r="G246" t="str">
        <f t="shared" si="6"/>
        <v>Y</v>
      </c>
      <c r="H246" t="str">
        <f t="shared" si="7"/>
        <v>Nokia</v>
      </c>
      <c r="I246">
        <v>9981200244</v>
      </c>
    </row>
    <row r="247" spans="1:9" x14ac:dyDescent="0.3">
      <c r="A247" t="s">
        <v>252</v>
      </c>
      <c r="B247" t="s">
        <v>264</v>
      </c>
      <c r="C247">
        <v>28</v>
      </c>
      <c r="D247" t="s">
        <v>283</v>
      </c>
      <c r="F247" t="s">
        <v>285</v>
      </c>
      <c r="G247" t="str">
        <f t="shared" si="6"/>
        <v>Y</v>
      </c>
      <c r="H247" t="str">
        <f t="shared" si="7"/>
        <v>Nokia</v>
      </c>
      <c r="I247">
        <v>9981200245</v>
      </c>
    </row>
    <row r="248" spans="1:9" x14ac:dyDescent="0.3">
      <c r="A248" t="s">
        <v>253</v>
      </c>
      <c r="B248" t="s">
        <v>265</v>
      </c>
      <c r="C248">
        <v>28</v>
      </c>
      <c r="D248" t="s">
        <v>283</v>
      </c>
      <c r="F248" t="s">
        <v>285</v>
      </c>
      <c r="G248" t="str">
        <f t="shared" si="6"/>
        <v>Y</v>
      </c>
      <c r="H248" t="str">
        <f t="shared" si="7"/>
        <v>Nokia</v>
      </c>
      <c r="I248">
        <v>9981200246</v>
      </c>
    </row>
    <row r="249" spans="1:9" x14ac:dyDescent="0.3">
      <c r="A249" t="s">
        <v>254</v>
      </c>
      <c r="B249" t="s">
        <v>266</v>
      </c>
      <c r="C249">
        <v>28</v>
      </c>
      <c r="D249" t="s">
        <v>283</v>
      </c>
      <c r="F249" t="s">
        <v>285</v>
      </c>
      <c r="G249" t="str">
        <f t="shared" si="6"/>
        <v>Y</v>
      </c>
      <c r="H249" t="str">
        <f t="shared" si="7"/>
        <v>Nokia</v>
      </c>
      <c r="I249">
        <v>9981200247</v>
      </c>
    </row>
    <row r="250" spans="1:9" x14ac:dyDescent="0.3">
      <c r="A250" t="s">
        <v>255</v>
      </c>
      <c r="B250" t="s">
        <v>267</v>
      </c>
      <c r="C250">
        <v>28</v>
      </c>
      <c r="D250" t="s">
        <v>284</v>
      </c>
      <c r="F250" t="s">
        <v>286</v>
      </c>
      <c r="G250" t="str">
        <f t="shared" si="6"/>
        <v>N</v>
      </c>
      <c r="H250" t="str">
        <f t="shared" si="7"/>
        <v>Nokia</v>
      </c>
      <c r="I250">
        <v>9981200248</v>
      </c>
    </row>
    <row r="251" spans="1:9" x14ac:dyDescent="0.3">
      <c r="A251" t="s">
        <v>256</v>
      </c>
      <c r="B251" t="s">
        <v>268</v>
      </c>
      <c r="C251">
        <v>25</v>
      </c>
      <c r="D251" t="s">
        <v>283</v>
      </c>
      <c r="F251" t="s">
        <v>286</v>
      </c>
      <c r="G251" t="str">
        <f t="shared" si="6"/>
        <v>N</v>
      </c>
      <c r="H251" t="str">
        <f t="shared" si="7"/>
        <v>Volcano</v>
      </c>
      <c r="I251">
        <v>9981200249</v>
      </c>
    </row>
    <row r="252" spans="1:9" x14ac:dyDescent="0.3">
      <c r="A252" t="s">
        <v>257</v>
      </c>
      <c r="B252" t="s">
        <v>269</v>
      </c>
      <c r="C252">
        <v>27</v>
      </c>
      <c r="D252" t="s">
        <v>283</v>
      </c>
      <c r="F252" t="s">
        <v>286</v>
      </c>
      <c r="G252" t="str">
        <f t="shared" si="6"/>
        <v>N</v>
      </c>
      <c r="H252" t="str">
        <f t="shared" si="7"/>
        <v>Nokia</v>
      </c>
      <c r="I252">
        <v>9981200250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FB9F-00E1-4397-A028-5EF2294AA248}">
  <dimension ref="A1:F252"/>
  <sheetViews>
    <sheetView tabSelected="1" topLeftCell="A195" workbookViewId="0">
      <selection activeCell="G2" sqref="G2"/>
    </sheetView>
  </sheetViews>
  <sheetFormatPr defaultRowHeight="14.4" x14ac:dyDescent="0.3"/>
  <cols>
    <col min="1" max="1" width="5.109375" bestFit="1" customWidth="1"/>
    <col min="2" max="2" width="10.21875" bestFit="1" customWidth="1"/>
    <col min="3" max="3" width="11" bestFit="1" customWidth="1"/>
  </cols>
  <sheetData>
    <row r="1" spans="1:6" ht="15.6" x14ac:dyDescent="0.3">
      <c r="A1" s="1" t="s">
        <v>287</v>
      </c>
      <c r="B1" s="1"/>
      <c r="C1" s="2"/>
      <c r="D1" s="2"/>
      <c r="E1" s="3"/>
      <c r="F1" s="3"/>
    </row>
    <row r="2" spans="1:6" x14ac:dyDescent="0.3">
      <c r="A2" t="str">
        <f>VLOOKUP(Sheet1!A2,Sheet1!$A$1:$I$252,1,FALSE)</f>
        <v>A001</v>
      </c>
      <c r="B2" t="str">
        <f>IF(VLOOKUP(vlookup!A2,Sheet1!A1:F252,6,FALSE)="Paid","Eligible","Not Eligible")</f>
        <v>Eligible</v>
      </c>
      <c r="C2">
        <f>VLOOKUP(vlookup!A2,Sheet1!$A$1:$I$252,9,FALSE)</f>
        <v>9981200000</v>
      </c>
      <c r="D2" t="str">
        <f>VLOOKUP(A2,Sheet1!$A$1:$I$252,8,FALSE)</f>
        <v>Nokia</v>
      </c>
    </row>
    <row r="3" spans="1:6" x14ac:dyDescent="0.3">
      <c r="A3" t="str">
        <f>VLOOKUP(Sheet1!A3,Sheet1!$A$1:$I$252,1,FALSE)</f>
        <v>A002</v>
      </c>
      <c r="B3" t="str">
        <f>IF(VLOOKUP(vlookup!A3,Sheet1!A2:F253,6,FALSE)="Paid","Eligible","Not Eligible")</f>
        <v>Eligible</v>
      </c>
      <c r="C3">
        <f>VLOOKUP(vlookup!A3,Sheet1!$A$1:$I$252,9,FALSE)</f>
        <v>9981200001</v>
      </c>
      <c r="D3" t="str">
        <f>VLOOKUP(A3,Sheet1!$A$1:$I$252,8,FALSE)</f>
        <v>Nokia</v>
      </c>
    </row>
    <row r="4" spans="1:6" x14ac:dyDescent="0.3">
      <c r="A4" t="str">
        <f>VLOOKUP(Sheet1!A4,Sheet1!$A$1:$I$252,1,FALSE)</f>
        <v>A003</v>
      </c>
      <c r="B4" t="str">
        <f>IF(VLOOKUP(vlookup!A4,Sheet1!A3:F254,6,FALSE)="Paid","Eligible","Not Eligible")</f>
        <v>Not Eligible</v>
      </c>
      <c r="C4">
        <f>VLOOKUP(vlookup!A4,Sheet1!$A$1:$I$252,9,FALSE)</f>
        <v>9981200002</v>
      </c>
      <c r="D4" t="str">
        <f>VLOOKUP(A4,Sheet1!$A$1:$I$252,8,FALSE)</f>
        <v>Nokia</v>
      </c>
    </row>
    <row r="5" spans="1:6" x14ac:dyDescent="0.3">
      <c r="A5" t="str">
        <f>VLOOKUP(Sheet1!A5,Sheet1!$A$1:$I$252,1,FALSE)</f>
        <v>A004</v>
      </c>
      <c r="B5" t="str">
        <f>IF(VLOOKUP(vlookup!A5,Sheet1!A4:F255,6,FALSE)="Paid","Eligible","Not Eligible")</f>
        <v>Eligible</v>
      </c>
      <c r="C5">
        <f>VLOOKUP(vlookup!A5,Sheet1!$A$1:$I$252,9,FALSE)</f>
        <v>9981200003</v>
      </c>
      <c r="D5" t="str">
        <f>VLOOKUP(A5,Sheet1!$A$1:$I$252,8,FALSE)</f>
        <v>Volcano</v>
      </c>
    </row>
    <row r="6" spans="1:6" x14ac:dyDescent="0.3">
      <c r="A6" t="str">
        <f>VLOOKUP(Sheet1!A6,Sheet1!$A$1:$I$252,1,FALSE)</f>
        <v>A005</v>
      </c>
      <c r="B6" t="str">
        <f>IF(VLOOKUP(vlookup!A6,Sheet1!A5:F256,6,FALSE)="Paid","Eligible","Not Eligible")</f>
        <v>Eligible</v>
      </c>
      <c r="C6">
        <f>VLOOKUP(vlookup!A6,Sheet1!$A$1:$I$252,9,FALSE)</f>
        <v>9981200004</v>
      </c>
      <c r="D6" t="str">
        <f>VLOOKUP(A6,Sheet1!$A$1:$I$252,8,FALSE)</f>
        <v>Volcano</v>
      </c>
    </row>
    <row r="7" spans="1:6" x14ac:dyDescent="0.3">
      <c r="A7" t="str">
        <f>VLOOKUP(Sheet1!A7,Sheet1!$A$1:$I$252,1,FALSE)</f>
        <v>A006</v>
      </c>
      <c r="B7" t="str">
        <f>IF(VLOOKUP(vlookup!A7,Sheet1!A6:F257,6,FALSE)="Paid","Eligible","Not Eligible")</f>
        <v>Eligible</v>
      </c>
      <c r="C7">
        <f>VLOOKUP(vlookup!A7,Sheet1!$A$1:$I$252,9,FALSE)</f>
        <v>9981200005</v>
      </c>
      <c r="D7" t="str">
        <f>VLOOKUP(A7,Sheet1!$A$1:$I$252,8,FALSE)</f>
        <v>Volcano</v>
      </c>
    </row>
    <row r="8" spans="1:6" x14ac:dyDescent="0.3">
      <c r="A8" t="str">
        <f>VLOOKUP(Sheet1!A8,Sheet1!$A$1:$I$252,1,FALSE)</f>
        <v>A007</v>
      </c>
      <c r="B8" t="str">
        <f>IF(VLOOKUP(vlookup!A8,Sheet1!A7:F258,6,FALSE)="Paid","Eligible","Not Eligible")</f>
        <v>Eligible</v>
      </c>
      <c r="C8">
        <f>VLOOKUP(vlookup!A8,Sheet1!$A$1:$I$252,9,FALSE)</f>
        <v>9981200006</v>
      </c>
      <c r="D8" t="str">
        <f>VLOOKUP(A8,Sheet1!$A$1:$I$252,8,FALSE)</f>
        <v>Volcano</v>
      </c>
    </row>
    <row r="9" spans="1:6" x14ac:dyDescent="0.3">
      <c r="A9" t="str">
        <f>VLOOKUP(Sheet1!A9,Sheet1!$A$1:$I$252,1,FALSE)</f>
        <v>A008</v>
      </c>
      <c r="B9" t="str">
        <f>IF(VLOOKUP(vlookup!A9,Sheet1!A8:F259,6,FALSE)="Paid","Eligible","Not Eligible")</f>
        <v>Eligible</v>
      </c>
      <c r="C9">
        <f>VLOOKUP(vlookup!A9,Sheet1!$A$1:$I$252,9,FALSE)</f>
        <v>9981200007</v>
      </c>
      <c r="D9" t="str">
        <f>VLOOKUP(A9,Sheet1!$A$1:$I$252,8,FALSE)</f>
        <v>Nokia</v>
      </c>
    </row>
    <row r="10" spans="1:6" x14ac:dyDescent="0.3">
      <c r="A10" t="str">
        <f>VLOOKUP(Sheet1!A10,Sheet1!$A$1:$I$252,1,FALSE)</f>
        <v>A009</v>
      </c>
      <c r="B10" t="str">
        <f>IF(VLOOKUP(vlookup!A10,Sheet1!A9:F260,6,FALSE)="Paid","Eligible","Not Eligible")</f>
        <v>Not Eligible</v>
      </c>
      <c r="C10">
        <f>VLOOKUP(vlookup!A10,Sheet1!$A$1:$I$252,9,FALSE)</f>
        <v>9981200008</v>
      </c>
      <c r="D10" t="str">
        <f>VLOOKUP(A10,Sheet1!$A$1:$I$252,8,FALSE)</f>
        <v>Nokia</v>
      </c>
    </row>
    <row r="11" spans="1:6" x14ac:dyDescent="0.3">
      <c r="A11" t="str">
        <f>VLOOKUP(Sheet1!A11,Sheet1!$A$1:$I$252,1,FALSE)</f>
        <v>A010</v>
      </c>
      <c r="B11" t="str">
        <f>IF(VLOOKUP(vlookup!A11,Sheet1!A10:F261,6,FALSE)="Paid","Eligible","Not Eligible")</f>
        <v>Not Eligible</v>
      </c>
      <c r="C11">
        <f>VLOOKUP(vlookup!A11,Sheet1!$A$1:$I$252,9,FALSE)</f>
        <v>9981200009</v>
      </c>
      <c r="D11" t="str">
        <f>VLOOKUP(A11,Sheet1!$A$1:$I$252,8,FALSE)</f>
        <v>Nokia</v>
      </c>
    </row>
    <row r="12" spans="1:6" x14ac:dyDescent="0.3">
      <c r="A12" t="str">
        <f>VLOOKUP(Sheet1!A12,Sheet1!$A$1:$I$252,1,FALSE)</f>
        <v>A011</v>
      </c>
      <c r="B12" t="str">
        <f>IF(VLOOKUP(vlookup!A12,Sheet1!A11:F262,6,FALSE)="Paid","Eligible","Not Eligible")</f>
        <v>Not Eligible</v>
      </c>
      <c r="C12">
        <f>VLOOKUP(vlookup!A12,Sheet1!$A$1:$I$252,9,FALSE)</f>
        <v>9981200010</v>
      </c>
      <c r="D12" t="str">
        <f>VLOOKUP(A12,Sheet1!$A$1:$I$252,8,FALSE)</f>
        <v>Nokia</v>
      </c>
    </row>
    <row r="13" spans="1:6" x14ac:dyDescent="0.3">
      <c r="A13" t="str">
        <f>VLOOKUP(Sheet1!A13,Sheet1!$A$1:$I$252,1,FALSE)</f>
        <v>A012</v>
      </c>
      <c r="B13" t="str">
        <f>IF(VLOOKUP(vlookup!A13,Sheet1!A12:F263,6,FALSE)="Paid","Eligible","Not Eligible")</f>
        <v>Not Eligible</v>
      </c>
      <c r="C13">
        <f>VLOOKUP(vlookup!A13,Sheet1!$A$1:$I$252,9,FALSE)</f>
        <v>9981200011</v>
      </c>
      <c r="D13" t="str">
        <f>VLOOKUP(A13,Sheet1!$A$1:$I$252,8,FALSE)</f>
        <v>Volcano</v>
      </c>
    </row>
    <row r="14" spans="1:6" x14ac:dyDescent="0.3">
      <c r="A14" t="str">
        <f>VLOOKUP(Sheet1!A14,Sheet1!$A$1:$I$252,1,FALSE)</f>
        <v>A013</v>
      </c>
      <c r="B14" t="str">
        <f>IF(VLOOKUP(vlookup!A14,Sheet1!A13:F264,6,FALSE)="Paid","Eligible","Not Eligible")</f>
        <v>Eligible</v>
      </c>
      <c r="C14">
        <f>VLOOKUP(vlookup!A14,Sheet1!$A$1:$I$252,9,FALSE)</f>
        <v>9981200012</v>
      </c>
      <c r="D14" t="str">
        <f>VLOOKUP(A14,Sheet1!$A$1:$I$252,8,FALSE)</f>
        <v>Volcano</v>
      </c>
    </row>
    <row r="15" spans="1:6" x14ac:dyDescent="0.3">
      <c r="A15" t="str">
        <f>VLOOKUP(Sheet1!A15,Sheet1!$A$1:$I$252,1,FALSE)</f>
        <v>A014</v>
      </c>
      <c r="B15" t="str">
        <f>IF(VLOOKUP(vlookup!A15,Sheet1!A14:F265,6,FALSE)="Paid","Eligible","Not Eligible")</f>
        <v>Eligible</v>
      </c>
      <c r="C15">
        <f>VLOOKUP(vlookup!A15,Sheet1!$A$1:$I$252,9,FALSE)</f>
        <v>9981200013</v>
      </c>
      <c r="D15" t="str">
        <f>VLOOKUP(A15,Sheet1!$A$1:$I$252,8,FALSE)</f>
        <v>Nokia</v>
      </c>
    </row>
    <row r="16" spans="1:6" x14ac:dyDescent="0.3">
      <c r="A16" t="str">
        <f>VLOOKUP(Sheet1!A16,Sheet1!$A$1:$I$252,1,FALSE)</f>
        <v>A015</v>
      </c>
      <c r="B16" t="str">
        <f>IF(VLOOKUP(vlookup!A16,Sheet1!A15:F266,6,FALSE)="Paid","Eligible","Not Eligible")</f>
        <v>Not Eligible</v>
      </c>
      <c r="C16">
        <f>VLOOKUP(vlookup!A16,Sheet1!$A$1:$I$252,9,FALSE)</f>
        <v>9981200014</v>
      </c>
      <c r="D16" t="str">
        <f>VLOOKUP(A16,Sheet1!$A$1:$I$252,8,FALSE)</f>
        <v>Volcano</v>
      </c>
    </row>
    <row r="17" spans="1:4" x14ac:dyDescent="0.3">
      <c r="A17" t="str">
        <f>VLOOKUP(Sheet1!A17,Sheet1!$A$1:$I$252,1,FALSE)</f>
        <v>A016</v>
      </c>
      <c r="B17" t="str">
        <f>IF(VLOOKUP(vlookup!A17,Sheet1!A16:F267,6,FALSE)="Paid","Eligible","Not Eligible")</f>
        <v>Not Eligible</v>
      </c>
      <c r="C17">
        <f>VLOOKUP(vlookup!A17,Sheet1!$A$1:$I$252,9,FALSE)</f>
        <v>9981200015</v>
      </c>
      <c r="D17" t="str">
        <f>VLOOKUP(A17,Sheet1!$A$1:$I$252,8,FALSE)</f>
        <v>Volcano</v>
      </c>
    </row>
    <row r="18" spans="1:4" x14ac:dyDescent="0.3">
      <c r="A18" t="str">
        <f>VLOOKUP(Sheet1!A18,Sheet1!$A$1:$I$252,1,FALSE)</f>
        <v>A017</v>
      </c>
      <c r="B18" t="str">
        <f>IF(VLOOKUP(vlookup!A18,Sheet1!A17:F268,6,FALSE)="Paid","Eligible","Not Eligible")</f>
        <v>Not Eligible</v>
      </c>
      <c r="C18">
        <f>VLOOKUP(vlookup!A18,Sheet1!$A$1:$I$252,9,FALSE)</f>
        <v>9981200016</v>
      </c>
      <c r="D18" t="str">
        <f>VLOOKUP(A18,Sheet1!$A$1:$I$252,8,FALSE)</f>
        <v>Volcano</v>
      </c>
    </row>
    <row r="19" spans="1:4" x14ac:dyDescent="0.3">
      <c r="A19" t="str">
        <f>VLOOKUP(Sheet1!A19,Sheet1!$A$1:$I$252,1,FALSE)</f>
        <v>A018</v>
      </c>
      <c r="B19" t="str">
        <f>IF(VLOOKUP(vlookup!A19,Sheet1!A18:F269,6,FALSE)="Paid","Eligible","Not Eligible")</f>
        <v>Eligible</v>
      </c>
      <c r="C19">
        <f>VLOOKUP(vlookup!A19,Sheet1!$A$1:$I$252,9,FALSE)</f>
        <v>9981200017</v>
      </c>
      <c r="D19" t="str">
        <f>VLOOKUP(A19,Sheet1!$A$1:$I$252,8,FALSE)</f>
        <v>Nokia</v>
      </c>
    </row>
    <row r="20" spans="1:4" x14ac:dyDescent="0.3">
      <c r="A20" t="str">
        <f>VLOOKUP(Sheet1!A20,Sheet1!$A$1:$I$252,1,FALSE)</f>
        <v>A019</v>
      </c>
      <c r="B20" t="str">
        <f>IF(VLOOKUP(vlookup!A20,Sheet1!A19:F270,6,FALSE)="Paid","Eligible","Not Eligible")</f>
        <v>Eligible</v>
      </c>
      <c r="C20">
        <f>VLOOKUP(vlookup!A20,Sheet1!$A$1:$I$252,9,FALSE)</f>
        <v>9981200018</v>
      </c>
      <c r="D20" t="str">
        <f>VLOOKUP(A20,Sheet1!$A$1:$I$252,8,FALSE)</f>
        <v>Volcano</v>
      </c>
    </row>
    <row r="21" spans="1:4" x14ac:dyDescent="0.3">
      <c r="A21" t="str">
        <f>VLOOKUP(Sheet1!A21,Sheet1!$A$1:$I$252,1,FALSE)</f>
        <v>A020</v>
      </c>
      <c r="B21" t="str">
        <f>IF(VLOOKUP(vlookup!A21,Sheet1!A20:F271,6,FALSE)="Paid","Eligible","Not Eligible")</f>
        <v>Not Eligible</v>
      </c>
      <c r="C21">
        <f>VLOOKUP(vlookup!A21,Sheet1!$A$1:$I$252,9,FALSE)</f>
        <v>9981200019</v>
      </c>
      <c r="D21" t="str">
        <f>VLOOKUP(A21,Sheet1!$A$1:$I$252,8,FALSE)</f>
        <v>Volcano</v>
      </c>
    </row>
    <row r="22" spans="1:4" x14ac:dyDescent="0.3">
      <c r="A22" t="str">
        <f>VLOOKUP(Sheet1!A22,Sheet1!$A$1:$I$252,1,FALSE)</f>
        <v>A021</v>
      </c>
      <c r="B22" t="str">
        <f>IF(VLOOKUP(vlookup!A22,Sheet1!A21:F272,6,FALSE)="Paid","Eligible","Not Eligible")</f>
        <v>Not Eligible</v>
      </c>
      <c r="C22">
        <f>VLOOKUP(vlookup!A22,Sheet1!$A$1:$I$252,9,FALSE)</f>
        <v>9981200020</v>
      </c>
      <c r="D22" t="str">
        <f>VLOOKUP(A22,Sheet1!$A$1:$I$252,8,FALSE)</f>
        <v>Volcano</v>
      </c>
    </row>
    <row r="23" spans="1:4" x14ac:dyDescent="0.3">
      <c r="A23" t="str">
        <f>VLOOKUP(Sheet1!A23,Sheet1!$A$1:$I$252,1,FALSE)</f>
        <v>A022</v>
      </c>
      <c r="B23" t="str">
        <f>IF(VLOOKUP(vlookup!A23,Sheet1!A22:F273,6,FALSE)="Paid","Eligible","Not Eligible")</f>
        <v>Eligible</v>
      </c>
      <c r="C23">
        <f>VLOOKUP(vlookup!A23,Sheet1!$A$1:$I$252,9,FALSE)</f>
        <v>9981200021</v>
      </c>
      <c r="D23" t="str">
        <f>VLOOKUP(A23,Sheet1!$A$1:$I$252,8,FALSE)</f>
        <v>Nokia</v>
      </c>
    </row>
    <row r="24" spans="1:4" x14ac:dyDescent="0.3">
      <c r="A24" t="str">
        <f>VLOOKUP(Sheet1!A24,Sheet1!$A$1:$I$252,1,FALSE)</f>
        <v>A023</v>
      </c>
      <c r="B24" t="str">
        <f>IF(VLOOKUP(vlookup!A24,Sheet1!A23:F274,6,FALSE)="Paid","Eligible","Not Eligible")</f>
        <v>Eligible</v>
      </c>
      <c r="C24">
        <f>VLOOKUP(vlookup!A24,Sheet1!$A$1:$I$252,9,FALSE)</f>
        <v>9981200022</v>
      </c>
      <c r="D24" t="str">
        <f>VLOOKUP(A24,Sheet1!$A$1:$I$252,8,FALSE)</f>
        <v>Nokia</v>
      </c>
    </row>
    <row r="25" spans="1:4" x14ac:dyDescent="0.3">
      <c r="A25" t="str">
        <f>VLOOKUP(Sheet1!A25,Sheet1!$A$1:$I$252,1,FALSE)</f>
        <v>A024</v>
      </c>
      <c r="B25" t="str">
        <f>IF(VLOOKUP(vlookup!A25,Sheet1!A24:F275,6,FALSE)="Paid","Eligible","Not Eligible")</f>
        <v>Not Eligible</v>
      </c>
      <c r="C25">
        <f>VLOOKUP(vlookup!A25,Sheet1!$A$1:$I$252,9,FALSE)</f>
        <v>9981200023</v>
      </c>
      <c r="D25" t="str">
        <f>VLOOKUP(A25,Sheet1!$A$1:$I$252,8,FALSE)</f>
        <v>Nokia</v>
      </c>
    </row>
    <row r="26" spans="1:4" x14ac:dyDescent="0.3">
      <c r="A26" t="str">
        <f>VLOOKUP(Sheet1!A26,Sheet1!$A$1:$I$252,1,FALSE)</f>
        <v>A025</v>
      </c>
      <c r="B26" t="str">
        <f>IF(VLOOKUP(vlookup!A26,Sheet1!A25:F276,6,FALSE)="Paid","Eligible","Not Eligible")</f>
        <v>Eligible</v>
      </c>
      <c r="C26">
        <f>VLOOKUP(vlookup!A26,Sheet1!$A$1:$I$252,9,FALSE)</f>
        <v>9981200024</v>
      </c>
      <c r="D26" t="str">
        <f>VLOOKUP(A26,Sheet1!$A$1:$I$252,8,FALSE)</f>
        <v>Volcano</v>
      </c>
    </row>
    <row r="27" spans="1:4" x14ac:dyDescent="0.3">
      <c r="A27" t="str">
        <f>VLOOKUP(Sheet1!A27,Sheet1!$A$1:$I$252,1,FALSE)</f>
        <v>A026</v>
      </c>
      <c r="B27" t="str">
        <f>IF(VLOOKUP(vlookup!A27,Sheet1!A26:F277,6,FALSE)="Paid","Eligible","Not Eligible")</f>
        <v>Eligible</v>
      </c>
      <c r="C27">
        <f>VLOOKUP(vlookup!A27,Sheet1!$A$1:$I$252,9,FALSE)</f>
        <v>9981200025</v>
      </c>
      <c r="D27" t="str">
        <f>VLOOKUP(A27,Sheet1!$A$1:$I$252,8,FALSE)</f>
        <v>Volcano</v>
      </c>
    </row>
    <row r="28" spans="1:4" x14ac:dyDescent="0.3">
      <c r="A28" t="str">
        <f>VLOOKUP(Sheet1!A28,Sheet1!$A$1:$I$252,1,FALSE)</f>
        <v>A027</v>
      </c>
      <c r="B28" t="str">
        <f>IF(VLOOKUP(vlookup!A28,Sheet1!A27:F278,6,FALSE)="Paid","Eligible","Not Eligible")</f>
        <v>Not Eligible</v>
      </c>
      <c r="C28">
        <f>VLOOKUP(vlookup!A28,Sheet1!$A$1:$I$252,9,FALSE)</f>
        <v>9981200026</v>
      </c>
      <c r="D28" t="str">
        <f>VLOOKUP(A28,Sheet1!$A$1:$I$252,8,FALSE)</f>
        <v>Nokia</v>
      </c>
    </row>
    <row r="29" spans="1:4" x14ac:dyDescent="0.3">
      <c r="A29" t="str">
        <f>VLOOKUP(Sheet1!A29,Sheet1!$A$1:$I$252,1,FALSE)</f>
        <v>A028</v>
      </c>
      <c r="B29" t="str">
        <f>IF(VLOOKUP(vlookup!A29,Sheet1!A28:F279,6,FALSE)="Paid","Eligible","Not Eligible")</f>
        <v>Eligible</v>
      </c>
      <c r="C29">
        <f>VLOOKUP(vlookup!A29,Sheet1!$A$1:$I$252,9,FALSE)</f>
        <v>9981200027</v>
      </c>
      <c r="D29" t="str">
        <f>VLOOKUP(A29,Sheet1!$A$1:$I$252,8,FALSE)</f>
        <v>Nokia</v>
      </c>
    </row>
    <row r="30" spans="1:4" x14ac:dyDescent="0.3">
      <c r="A30" t="str">
        <f>VLOOKUP(Sheet1!A30,Sheet1!$A$1:$I$252,1,FALSE)</f>
        <v>A029</v>
      </c>
      <c r="B30" t="str">
        <f>IF(VLOOKUP(vlookup!A30,Sheet1!A29:F280,6,FALSE)="Paid","Eligible","Not Eligible")</f>
        <v>Eligible</v>
      </c>
      <c r="C30">
        <f>VLOOKUP(vlookup!A30,Sheet1!$A$1:$I$252,9,FALSE)</f>
        <v>9981200028</v>
      </c>
      <c r="D30" t="str">
        <f>VLOOKUP(A30,Sheet1!$A$1:$I$252,8,FALSE)</f>
        <v>Nokia</v>
      </c>
    </row>
    <row r="31" spans="1:4" x14ac:dyDescent="0.3">
      <c r="A31" t="str">
        <f>VLOOKUP(Sheet1!A31,Sheet1!$A$1:$I$252,1,FALSE)</f>
        <v>A030</v>
      </c>
      <c r="B31" t="str">
        <f>IF(VLOOKUP(vlookup!A31,Sheet1!A30:F281,6,FALSE)="Paid","Eligible","Not Eligible")</f>
        <v>Eligible</v>
      </c>
      <c r="C31">
        <f>VLOOKUP(vlookup!A31,Sheet1!$A$1:$I$252,9,FALSE)</f>
        <v>9981200029</v>
      </c>
      <c r="D31" t="str">
        <f>VLOOKUP(A31,Sheet1!$A$1:$I$252,8,FALSE)</f>
        <v>Nokia</v>
      </c>
    </row>
    <row r="32" spans="1:4" x14ac:dyDescent="0.3">
      <c r="A32" t="str">
        <f>VLOOKUP(Sheet1!A32,Sheet1!$A$1:$I$252,1,FALSE)</f>
        <v>A031</v>
      </c>
      <c r="B32" t="str">
        <f>IF(VLOOKUP(vlookup!A32,Sheet1!A31:F282,6,FALSE)="Paid","Eligible","Not Eligible")</f>
        <v>Eligible</v>
      </c>
      <c r="C32">
        <f>VLOOKUP(vlookup!A32,Sheet1!$A$1:$I$252,9,FALSE)</f>
        <v>9981200030</v>
      </c>
      <c r="D32" t="str">
        <f>VLOOKUP(A32,Sheet1!$A$1:$I$252,8,FALSE)</f>
        <v>Volcano</v>
      </c>
    </row>
    <row r="33" spans="1:4" x14ac:dyDescent="0.3">
      <c r="A33" t="str">
        <f>VLOOKUP(Sheet1!A33,Sheet1!$A$1:$I$252,1,FALSE)</f>
        <v>A032</v>
      </c>
      <c r="B33" t="str">
        <f>IF(VLOOKUP(vlookup!A33,Sheet1!A32:F283,6,FALSE)="Paid","Eligible","Not Eligible")</f>
        <v>Eligible</v>
      </c>
      <c r="C33">
        <f>VLOOKUP(vlookup!A33,Sheet1!$A$1:$I$252,9,FALSE)</f>
        <v>9981200031</v>
      </c>
      <c r="D33" t="str">
        <f>VLOOKUP(A33,Sheet1!$A$1:$I$252,8,FALSE)</f>
        <v>Volcano</v>
      </c>
    </row>
    <row r="34" spans="1:4" x14ac:dyDescent="0.3">
      <c r="A34" t="str">
        <f>VLOOKUP(Sheet1!A34,Sheet1!$A$1:$I$252,1,FALSE)</f>
        <v>A033</v>
      </c>
      <c r="B34" t="str">
        <f>IF(VLOOKUP(vlookup!A34,Sheet1!A33:F284,6,FALSE)="Paid","Eligible","Not Eligible")</f>
        <v>Not Eligible</v>
      </c>
      <c r="C34">
        <f>VLOOKUP(vlookup!A34,Sheet1!$A$1:$I$252,9,FALSE)</f>
        <v>9981200032</v>
      </c>
      <c r="D34" t="str">
        <f>VLOOKUP(A34,Sheet1!$A$1:$I$252,8,FALSE)</f>
        <v>Nokia</v>
      </c>
    </row>
    <row r="35" spans="1:4" x14ac:dyDescent="0.3">
      <c r="A35" t="str">
        <f>VLOOKUP(Sheet1!A35,Sheet1!$A$1:$I$252,1,FALSE)</f>
        <v>A034</v>
      </c>
      <c r="B35" t="str">
        <f>IF(VLOOKUP(vlookup!A35,Sheet1!A34:F285,6,FALSE)="Paid","Eligible","Not Eligible")</f>
        <v>Not Eligible</v>
      </c>
      <c r="C35">
        <f>VLOOKUP(vlookup!A35,Sheet1!$A$1:$I$252,9,FALSE)</f>
        <v>9981200033</v>
      </c>
      <c r="D35" t="str">
        <f>VLOOKUP(A35,Sheet1!$A$1:$I$252,8,FALSE)</f>
        <v>Volcano</v>
      </c>
    </row>
    <row r="36" spans="1:4" x14ac:dyDescent="0.3">
      <c r="A36" t="str">
        <f>VLOOKUP(Sheet1!A36,Sheet1!$A$1:$I$252,1,FALSE)</f>
        <v>A035</v>
      </c>
      <c r="B36" t="str">
        <f>IF(VLOOKUP(vlookup!A36,Sheet1!A35:F286,6,FALSE)="Paid","Eligible","Not Eligible")</f>
        <v>Not Eligible</v>
      </c>
      <c r="C36">
        <f>VLOOKUP(vlookup!A36,Sheet1!$A$1:$I$252,9,FALSE)</f>
        <v>9981200034</v>
      </c>
      <c r="D36" t="str">
        <f>VLOOKUP(A36,Sheet1!$A$1:$I$252,8,FALSE)</f>
        <v>Volcano</v>
      </c>
    </row>
    <row r="37" spans="1:4" x14ac:dyDescent="0.3">
      <c r="A37" t="str">
        <f>VLOOKUP(Sheet1!A37,Sheet1!$A$1:$I$252,1,FALSE)</f>
        <v>A036</v>
      </c>
      <c r="B37" t="str">
        <f>IF(VLOOKUP(vlookup!A37,Sheet1!A36:F287,6,FALSE)="Paid","Eligible","Not Eligible")</f>
        <v>Not Eligible</v>
      </c>
      <c r="C37">
        <f>VLOOKUP(vlookup!A37,Sheet1!$A$1:$I$252,9,FALSE)</f>
        <v>9981200035</v>
      </c>
      <c r="D37" t="str">
        <f>VLOOKUP(A37,Sheet1!$A$1:$I$252,8,FALSE)</f>
        <v>Volcano</v>
      </c>
    </row>
    <row r="38" spans="1:4" x14ac:dyDescent="0.3">
      <c r="A38" t="str">
        <f>VLOOKUP(Sheet1!A38,Sheet1!$A$1:$I$252,1,FALSE)</f>
        <v>A037</v>
      </c>
      <c r="B38" t="str">
        <f>IF(VLOOKUP(vlookup!A38,Sheet1!A37:F288,6,FALSE)="Paid","Eligible","Not Eligible")</f>
        <v>Eligible</v>
      </c>
      <c r="C38">
        <f>VLOOKUP(vlookup!A38,Sheet1!$A$1:$I$252,9,FALSE)</f>
        <v>9981200036</v>
      </c>
      <c r="D38" t="str">
        <f>VLOOKUP(A38,Sheet1!$A$1:$I$252,8,FALSE)</f>
        <v>Nokia</v>
      </c>
    </row>
    <row r="39" spans="1:4" x14ac:dyDescent="0.3">
      <c r="A39" t="str">
        <f>VLOOKUP(Sheet1!A39,Sheet1!$A$1:$I$252,1,FALSE)</f>
        <v>A038</v>
      </c>
      <c r="B39" t="str">
        <f>IF(VLOOKUP(vlookup!A39,Sheet1!A38:F289,6,FALSE)="Paid","Eligible","Not Eligible")</f>
        <v>Eligible</v>
      </c>
      <c r="C39">
        <f>VLOOKUP(vlookup!A39,Sheet1!$A$1:$I$252,9,FALSE)</f>
        <v>9981200037</v>
      </c>
      <c r="D39" t="str">
        <f>VLOOKUP(A39,Sheet1!$A$1:$I$252,8,FALSE)</f>
        <v>Volcano</v>
      </c>
    </row>
    <row r="40" spans="1:4" x14ac:dyDescent="0.3">
      <c r="A40" t="str">
        <f>VLOOKUP(Sheet1!A40,Sheet1!$A$1:$I$252,1,FALSE)</f>
        <v>A039</v>
      </c>
      <c r="B40" t="str">
        <f>IF(VLOOKUP(vlookup!A40,Sheet1!A39:F290,6,FALSE)="Paid","Eligible","Not Eligible")</f>
        <v>Not Eligible</v>
      </c>
      <c r="C40">
        <f>VLOOKUP(vlookup!A40,Sheet1!$A$1:$I$252,9,FALSE)</f>
        <v>9981200038</v>
      </c>
      <c r="D40" t="str">
        <f>VLOOKUP(A40,Sheet1!$A$1:$I$252,8,FALSE)</f>
        <v>Volcano</v>
      </c>
    </row>
    <row r="41" spans="1:4" x14ac:dyDescent="0.3">
      <c r="A41" t="str">
        <f>VLOOKUP(Sheet1!A41,Sheet1!$A$1:$I$252,1,FALSE)</f>
        <v>A040</v>
      </c>
      <c r="B41" t="str">
        <f>IF(VLOOKUP(vlookup!A41,Sheet1!A40:F291,6,FALSE)="Paid","Eligible","Not Eligible")</f>
        <v>Not Eligible</v>
      </c>
      <c r="C41">
        <f>VLOOKUP(vlookup!A41,Sheet1!$A$1:$I$252,9,FALSE)</f>
        <v>9981200039</v>
      </c>
      <c r="D41" t="str">
        <f>VLOOKUP(A41,Sheet1!$A$1:$I$252,8,FALSE)</f>
        <v>Volcano</v>
      </c>
    </row>
    <row r="42" spans="1:4" x14ac:dyDescent="0.3">
      <c r="A42" t="str">
        <f>VLOOKUP(Sheet1!A42,Sheet1!$A$1:$I$252,1,FALSE)</f>
        <v>A041</v>
      </c>
      <c r="B42" t="str">
        <f>IF(VLOOKUP(vlookup!A42,Sheet1!A41:F292,6,FALSE)="Paid","Eligible","Not Eligible")</f>
        <v>Not Eligible</v>
      </c>
      <c r="C42">
        <f>VLOOKUP(vlookup!A42,Sheet1!$A$1:$I$252,9,FALSE)</f>
        <v>9981200040</v>
      </c>
      <c r="D42" t="str">
        <f>VLOOKUP(A42,Sheet1!$A$1:$I$252,8,FALSE)</f>
        <v>Nokia</v>
      </c>
    </row>
    <row r="43" spans="1:4" x14ac:dyDescent="0.3">
      <c r="A43" t="str">
        <f>VLOOKUP(Sheet1!A43,Sheet1!$A$1:$I$252,1,FALSE)</f>
        <v>A042</v>
      </c>
      <c r="B43" t="str">
        <f>IF(VLOOKUP(vlookup!A43,Sheet1!A42:F293,6,FALSE)="Paid","Eligible","Not Eligible")</f>
        <v>Eligible</v>
      </c>
      <c r="C43">
        <f>VLOOKUP(vlookup!A43,Sheet1!$A$1:$I$252,9,FALSE)</f>
        <v>9981200041</v>
      </c>
      <c r="D43" t="str">
        <f>VLOOKUP(A43,Sheet1!$A$1:$I$252,8,FALSE)</f>
        <v>Nokia</v>
      </c>
    </row>
    <row r="44" spans="1:4" x14ac:dyDescent="0.3">
      <c r="A44" t="str">
        <f>VLOOKUP(Sheet1!A44,Sheet1!$A$1:$I$252,1,FALSE)</f>
        <v>A043</v>
      </c>
      <c r="B44" t="str">
        <f>IF(VLOOKUP(vlookup!A44,Sheet1!A43:F294,6,FALSE)="Paid","Eligible","Not Eligible")</f>
        <v>Eligible</v>
      </c>
      <c r="C44">
        <f>VLOOKUP(vlookup!A44,Sheet1!$A$1:$I$252,9,FALSE)</f>
        <v>9981200042</v>
      </c>
      <c r="D44" t="str">
        <f>VLOOKUP(A44,Sheet1!$A$1:$I$252,8,FALSE)</f>
        <v>Nokia</v>
      </c>
    </row>
    <row r="45" spans="1:4" x14ac:dyDescent="0.3">
      <c r="A45" t="str">
        <f>VLOOKUP(Sheet1!A45,Sheet1!$A$1:$I$252,1,FALSE)</f>
        <v>A044</v>
      </c>
      <c r="B45" t="str">
        <f>IF(VLOOKUP(vlookup!A45,Sheet1!A44:F295,6,FALSE)="Paid","Eligible","Not Eligible")</f>
        <v>Not Eligible</v>
      </c>
      <c r="C45">
        <f>VLOOKUP(vlookup!A45,Sheet1!$A$1:$I$252,9,FALSE)</f>
        <v>9981200043</v>
      </c>
      <c r="D45" t="str">
        <f>VLOOKUP(A45,Sheet1!$A$1:$I$252,8,FALSE)</f>
        <v>Nokia</v>
      </c>
    </row>
    <row r="46" spans="1:4" x14ac:dyDescent="0.3">
      <c r="A46" t="str">
        <f>VLOOKUP(Sheet1!A46,Sheet1!$A$1:$I$252,1,FALSE)</f>
        <v>A045</v>
      </c>
      <c r="B46" t="str">
        <f>IF(VLOOKUP(vlookup!A46,Sheet1!A45:F296,6,FALSE)="Paid","Eligible","Not Eligible")</f>
        <v>Not Eligible</v>
      </c>
      <c r="C46">
        <f>VLOOKUP(vlookup!A46,Sheet1!$A$1:$I$252,9,FALSE)</f>
        <v>9981200044</v>
      </c>
      <c r="D46" t="str">
        <f>VLOOKUP(A46,Sheet1!$A$1:$I$252,8,FALSE)</f>
        <v>Nokia</v>
      </c>
    </row>
    <row r="47" spans="1:4" x14ac:dyDescent="0.3">
      <c r="A47" t="str">
        <f>VLOOKUP(Sheet1!A47,Sheet1!$A$1:$I$252,1,FALSE)</f>
        <v>A046</v>
      </c>
      <c r="B47" t="str">
        <f>IF(VLOOKUP(vlookup!A47,Sheet1!A46:F297,6,FALSE)="Paid","Eligible","Not Eligible")</f>
        <v>Eligible</v>
      </c>
      <c r="C47">
        <f>VLOOKUP(vlookup!A47,Sheet1!$A$1:$I$252,9,FALSE)</f>
        <v>9981200045</v>
      </c>
      <c r="D47" t="str">
        <f>VLOOKUP(A47,Sheet1!$A$1:$I$252,8,FALSE)</f>
        <v>Nokia</v>
      </c>
    </row>
    <row r="48" spans="1:4" x14ac:dyDescent="0.3">
      <c r="A48" t="str">
        <f>VLOOKUP(Sheet1!A48,Sheet1!$A$1:$I$252,1,FALSE)</f>
        <v>A047</v>
      </c>
      <c r="B48" t="str">
        <f>IF(VLOOKUP(vlookup!A48,Sheet1!A47:F298,6,FALSE)="Paid","Eligible","Not Eligible")</f>
        <v>Eligible</v>
      </c>
      <c r="C48">
        <f>VLOOKUP(vlookup!A48,Sheet1!$A$1:$I$252,9,FALSE)</f>
        <v>9981200046</v>
      </c>
      <c r="D48" t="str">
        <f>VLOOKUP(A48,Sheet1!$A$1:$I$252,8,FALSE)</f>
        <v>Nokia</v>
      </c>
    </row>
    <row r="49" spans="1:4" x14ac:dyDescent="0.3">
      <c r="A49" t="str">
        <f>VLOOKUP(Sheet1!A49,Sheet1!$A$1:$I$252,1,FALSE)</f>
        <v>A048</v>
      </c>
      <c r="B49" t="str">
        <f>IF(VLOOKUP(vlookup!A49,Sheet1!A48:F299,6,FALSE)="Paid","Eligible","Not Eligible")</f>
        <v>Not Eligible</v>
      </c>
      <c r="C49">
        <f>VLOOKUP(vlookup!A49,Sheet1!$A$1:$I$252,9,FALSE)</f>
        <v>9981200047</v>
      </c>
      <c r="D49" t="str">
        <f>VLOOKUP(A49,Sheet1!$A$1:$I$252,8,FALSE)</f>
        <v>Nokia</v>
      </c>
    </row>
    <row r="50" spans="1:4" x14ac:dyDescent="0.3">
      <c r="A50" t="str">
        <f>VLOOKUP(Sheet1!A50,Sheet1!$A$1:$I$252,1,FALSE)</f>
        <v>A049</v>
      </c>
      <c r="B50" t="str">
        <f>IF(VLOOKUP(vlookup!A50,Sheet1!A49:F300,6,FALSE)="Paid","Eligible","Not Eligible")</f>
        <v>Eligible</v>
      </c>
      <c r="C50">
        <f>VLOOKUP(vlookup!A50,Sheet1!$A$1:$I$252,9,FALSE)</f>
        <v>9981200048</v>
      </c>
      <c r="D50" t="str">
        <f>VLOOKUP(A50,Sheet1!$A$1:$I$252,8,FALSE)</f>
        <v>Volcano</v>
      </c>
    </row>
    <row r="51" spans="1:4" x14ac:dyDescent="0.3">
      <c r="A51" t="str">
        <f>VLOOKUP(Sheet1!A51,Sheet1!$A$1:$I$252,1,FALSE)</f>
        <v>A050</v>
      </c>
      <c r="B51" t="str">
        <f>IF(VLOOKUP(vlookup!A51,Sheet1!A50:F301,6,FALSE)="Paid","Eligible","Not Eligible")</f>
        <v>Eligible</v>
      </c>
      <c r="C51">
        <f>VLOOKUP(vlookup!A51,Sheet1!$A$1:$I$252,9,FALSE)</f>
        <v>9981200049</v>
      </c>
      <c r="D51" t="str">
        <f>VLOOKUP(A51,Sheet1!$A$1:$I$252,8,FALSE)</f>
        <v>Nokia</v>
      </c>
    </row>
    <row r="52" spans="1:4" x14ac:dyDescent="0.3">
      <c r="A52" t="str">
        <f>VLOOKUP(Sheet1!A52,Sheet1!$A$1:$I$252,1,FALSE)</f>
        <v>A051</v>
      </c>
      <c r="B52" t="str">
        <f>IF(VLOOKUP(vlookup!A52,Sheet1!A51:F302,6,FALSE)="Paid","Eligible","Not Eligible")</f>
        <v>Not Eligible</v>
      </c>
      <c r="C52">
        <f>VLOOKUP(vlookup!A52,Sheet1!$A$1:$I$252,9,FALSE)</f>
        <v>9981200050</v>
      </c>
      <c r="D52" t="str">
        <f>VLOOKUP(A52,Sheet1!$A$1:$I$252,8,FALSE)</f>
        <v>Volcano</v>
      </c>
    </row>
    <row r="53" spans="1:4" x14ac:dyDescent="0.3">
      <c r="A53" t="str">
        <f>VLOOKUP(Sheet1!A53,Sheet1!$A$1:$I$252,1,FALSE)</f>
        <v>A052</v>
      </c>
      <c r="B53" t="str">
        <f>IF(VLOOKUP(vlookup!A53,Sheet1!A52:F303,6,FALSE)="Paid","Eligible","Not Eligible")</f>
        <v>Eligible</v>
      </c>
      <c r="C53">
        <f>VLOOKUP(vlookup!A53,Sheet1!$A$1:$I$252,9,FALSE)</f>
        <v>9981200051</v>
      </c>
      <c r="D53" t="str">
        <f>VLOOKUP(A53,Sheet1!$A$1:$I$252,8,FALSE)</f>
        <v>Volcano</v>
      </c>
    </row>
    <row r="54" spans="1:4" x14ac:dyDescent="0.3">
      <c r="A54" t="str">
        <f>VLOOKUP(Sheet1!A54,Sheet1!$A$1:$I$252,1,FALSE)</f>
        <v>A053</v>
      </c>
      <c r="B54" t="str">
        <f>IF(VLOOKUP(vlookup!A54,Sheet1!A53:F304,6,FALSE)="Paid","Eligible","Not Eligible")</f>
        <v>Eligible</v>
      </c>
      <c r="C54">
        <f>VLOOKUP(vlookup!A54,Sheet1!$A$1:$I$252,9,FALSE)</f>
        <v>9981200052</v>
      </c>
      <c r="D54" t="str">
        <f>VLOOKUP(A54,Sheet1!$A$1:$I$252,8,FALSE)</f>
        <v>Volcano</v>
      </c>
    </row>
    <row r="55" spans="1:4" x14ac:dyDescent="0.3">
      <c r="A55" t="str">
        <f>VLOOKUP(Sheet1!A55,Sheet1!$A$1:$I$252,1,FALSE)</f>
        <v>A054</v>
      </c>
      <c r="B55" t="str">
        <f>IF(VLOOKUP(vlookup!A55,Sheet1!A54:F305,6,FALSE)="Paid","Eligible","Not Eligible")</f>
        <v>Eligible</v>
      </c>
      <c r="C55">
        <f>VLOOKUP(vlookup!A55,Sheet1!$A$1:$I$252,9,FALSE)</f>
        <v>9981200053</v>
      </c>
      <c r="D55" t="str">
        <f>VLOOKUP(A55,Sheet1!$A$1:$I$252,8,FALSE)</f>
        <v>Nokia</v>
      </c>
    </row>
    <row r="56" spans="1:4" x14ac:dyDescent="0.3">
      <c r="A56" t="str">
        <f>VLOOKUP(Sheet1!A56,Sheet1!$A$1:$I$252,1,FALSE)</f>
        <v>A055</v>
      </c>
      <c r="B56" t="str">
        <f>IF(VLOOKUP(vlookup!A56,Sheet1!A55:F306,6,FALSE)="Paid","Eligible","Not Eligible")</f>
        <v>Eligible</v>
      </c>
      <c r="C56">
        <f>VLOOKUP(vlookup!A56,Sheet1!$A$1:$I$252,9,FALSE)</f>
        <v>9981200054</v>
      </c>
      <c r="D56" t="str">
        <f>VLOOKUP(A56,Sheet1!$A$1:$I$252,8,FALSE)</f>
        <v>Volcano</v>
      </c>
    </row>
    <row r="57" spans="1:4" x14ac:dyDescent="0.3">
      <c r="A57" t="str">
        <f>VLOOKUP(Sheet1!A57,Sheet1!$A$1:$I$252,1,FALSE)</f>
        <v>A056</v>
      </c>
      <c r="B57" t="str">
        <f>IF(VLOOKUP(vlookup!A57,Sheet1!A56:F307,6,FALSE)="Paid","Eligible","Not Eligible")</f>
        <v>Eligible</v>
      </c>
      <c r="C57">
        <f>VLOOKUP(vlookup!A57,Sheet1!$A$1:$I$252,9,FALSE)</f>
        <v>9981200055</v>
      </c>
      <c r="D57" t="str">
        <f>VLOOKUP(A57,Sheet1!$A$1:$I$252,8,FALSE)</f>
        <v>Volcano</v>
      </c>
    </row>
    <row r="58" spans="1:4" x14ac:dyDescent="0.3">
      <c r="A58" t="str">
        <f>VLOOKUP(Sheet1!A58,Sheet1!$A$1:$I$252,1,FALSE)</f>
        <v>A057</v>
      </c>
      <c r="B58" t="str">
        <f>IF(VLOOKUP(vlookup!A58,Sheet1!A57:F308,6,FALSE)="Paid","Eligible","Not Eligible")</f>
        <v>Not Eligible</v>
      </c>
      <c r="C58">
        <f>VLOOKUP(vlookup!A58,Sheet1!$A$1:$I$252,9,FALSE)</f>
        <v>9981200056</v>
      </c>
      <c r="D58" t="str">
        <f>VLOOKUP(A58,Sheet1!$A$1:$I$252,8,FALSE)</f>
        <v>Volcano</v>
      </c>
    </row>
    <row r="59" spans="1:4" x14ac:dyDescent="0.3">
      <c r="A59" t="str">
        <f>VLOOKUP(Sheet1!A59,Sheet1!$A$1:$I$252,1,FALSE)</f>
        <v>A058</v>
      </c>
      <c r="B59" t="str">
        <f>IF(VLOOKUP(vlookup!A59,Sheet1!A58:F309,6,FALSE)="Paid","Eligible","Not Eligible")</f>
        <v>Not Eligible</v>
      </c>
      <c r="C59">
        <f>VLOOKUP(vlookup!A59,Sheet1!$A$1:$I$252,9,FALSE)</f>
        <v>9981200057</v>
      </c>
      <c r="D59" t="str">
        <f>VLOOKUP(A59,Sheet1!$A$1:$I$252,8,FALSE)</f>
        <v>Nokia</v>
      </c>
    </row>
    <row r="60" spans="1:4" x14ac:dyDescent="0.3">
      <c r="A60" t="str">
        <f>VLOOKUP(Sheet1!A60,Sheet1!$A$1:$I$252,1,FALSE)</f>
        <v>A059</v>
      </c>
      <c r="B60" t="str">
        <f>IF(VLOOKUP(vlookup!A60,Sheet1!A59:F310,6,FALSE)="Paid","Eligible","Not Eligible")</f>
        <v>Not Eligible</v>
      </c>
      <c r="C60">
        <f>VLOOKUP(vlookup!A60,Sheet1!$A$1:$I$252,9,FALSE)</f>
        <v>9981200058</v>
      </c>
      <c r="D60" t="str">
        <f>VLOOKUP(A60,Sheet1!$A$1:$I$252,8,FALSE)</f>
        <v>Nokia</v>
      </c>
    </row>
    <row r="61" spans="1:4" x14ac:dyDescent="0.3">
      <c r="A61" t="str">
        <f>VLOOKUP(Sheet1!A61,Sheet1!$A$1:$I$252,1,FALSE)</f>
        <v>A060</v>
      </c>
      <c r="B61" t="str">
        <f>IF(VLOOKUP(vlookup!A61,Sheet1!A60:F311,6,FALSE)="Paid","Eligible","Not Eligible")</f>
        <v>Not Eligible</v>
      </c>
      <c r="C61">
        <f>VLOOKUP(vlookup!A61,Sheet1!$A$1:$I$252,9,FALSE)</f>
        <v>9981200059</v>
      </c>
      <c r="D61" t="str">
        <f>VLOOKUP(A61,Sheet1!$A$1:$I$252,8,FALSE)</f>
        <v>Nokia</v>
      </c>
    </row>
    <row r="62" spans="1:4" x14ac:dyDescent="0.3">
      <c r="A62" t="str">
        <f>VLOOKUP(Sheet1!A62,Sheet1!$A$1:$I$252,1,FALSE)</f>
        <v>A061</v>
      </c>
      <c r="B62" t="str">
        <f>IF(VLOOKUP(vlookup!A62,Sheet1!A61:F312,6,FALSE)="Paid","Eligible","Not Eligible")</f>
        <v>Eligible</v>
      </c>
      <c r="C62">
        <f>VLOOKUP(vlookup!A62,Sheet1!$A$1:$I$252,9,FALSE)</f>
        <v>9981200060</v>
      </c>
      <c r="D62" t="str">
        <f>VLOOKUP(A62,Sheet1!$A$1:$I$252,8,FALSE)</f>
        <v>Nokia</v>
      </c>
    </row>
    <row r="63" spans="1:4" x14ac:dyDescent="0.3">
      <c r="A63" t="str">
        <f>VLOOKUP(Sheet1!A63,Sheet1!$A$1:$I$252,1,FALSE)</f>
        <v>A062</v>
      </c>
      <c r="B63" t="str">
        <f>IF(VLOOKUP(vlookup!A63,Sheet1!A62:F313,6,FALSE)="Paid","Eligible","Not Eligible")</f>
        <v>Eligible</v>
      </c>
      <c r="C63">
        <f>VLOOKUP(vlookup!A63,Sheet1!$A$1:$I$252,9,FALSE)</f>
        <v>9981200061</v>
      </c>
      <c r="D63" t="str">
        <f>VLOOKUP(A63,Sheet1!$A$1:$I$252,8,FALSE)</f>
        <v>Nokia</v>
      </c>
    </row>
    <row r="64" spans="1:4" x14ac:dyDescent="0.3">
      <c r="A64" t="str">
        <f>VLOOKUP(Sheet1!A64,Sheet1!$A$1:$I$252,1,FALSE)</f>
        <v>A063</v>
      </c>
      <c r="B64" t="str">
        <f>IF(VLOOKUP(vlookup!A64,Sheet1!A63:F314,6,FALSE)="Paid","Eligible","Not Eligible")</f>
        <v>Not Eligible</v>
      </c>
      <c r="C64">
        <f>VLOOKUP(vlookup!A64,Sheet1!$A$1:$I$252,9,FALSE)</f>
        <v>9981200062</v>
      </c>
      <c r="D64" t="str">
        <f>VLOOKUP(A64,Sheet1!$A$1:$I$252,8,FALSE)</f>
        <v>Nokia</v>
      </c>
    </row>
    <row r="65" spans="1:4" x14ac:dyDescent="0.3">
      <c r="A65" t="str">
        <f>VLOOKUP(Sheet1!A65,Sheet1!$A$1:$I$252,1,FALSE)</f>
        <v>A064</v>
      </c>
      <c r="B65" t="str">
        <f>IF(VLOOKUP(vlookup!A65,Sheet1!A64:F315,6,FALSE)="Paid","Eligible","Not Eligible")</f>
        <v>Not Eligible</v>
      </c>
      <c r="C65">
        <f>VLOOKUP(vlookup!A65,Sheet1!$A$1:$I$252,9,FALSE)</f>
        <v>9981200063</v>
      </c>
      <c r="D65" t="str">
        <f>VLOOKUP(A65,Sheet1!$A$1:$I$252,8,FALSE)</f>
        <v>Nokia</v>
      </c>
    </row>
    <row r="66" spans="1:4" x14ac:dyDescent="0.3">
      <c r="A66" t="str">
        <f>VLOOKUP(Sheet1!A66,Sheet1!$A$1:$I$252,1,FALSE)</f>
        <v>A065</v>
      </c>
      <c r="B66" t="str">
        <f>IF(VLOOKUP(vlookup!A66,Sheet1!A65:F316,6,FALSE)="Paid","Eligible","Not Eligible")</f>
        <v>Not Eligible</v>
      </c>
      <c r="C66">
        <f>VLOOKUP(vlookup!A66,Sheet1!$A$1:$I$252,9,FALSE)</f>
        <v>9981200064</v>
      </c>
      <c r="D66" t="str">
        <f>VLOOKUP(A66,Sheet1!$A$1:$I$252,8,FALSE)</f>
        <v>Nokia</v>
      </c>
    </row>
    <row r="67" spans="1:4" x14ac:dyDescent="0.3">
      <c r="A67" t="str">
        <f>VLOOKUP(Sheet1!A67,Sheet1!$A$1:$I$252,1,FALSE)</f>
        <v>A066</v>
      </c>
      <c r="B67" t="str">
        <f>IF(VLOOKUP(vlookup!A67,Sheet1!A66:F317,6,FALSE)="Paid","Eligible","Not Eligible")</f>
        <v>Eligible</v>
      </c>
      <c r="C67">
        <f>VLOOKUP(vlookup!A67,Sheet1!$A$1:$I$252,9,FALSE)</f>
        <v>9981200065</v>
      </c>
      <c r="D67" t="str">
        <f>VLOOKUP(A67,Sheet1!$A$1:$I$252,8,FALSE)</f>
        <v>Nokia</v>
      </c>
    </row>
    <row r="68" spans="1:4" x14ac:dyDescent="0.3">
      <c r="A68" t="str">
        <f>VLOOKUP(Sheet1!A68,Sheet1!$A$1:$I$252,1,FALSE)</f>
        <v>A067</v>
      </c>
      <c r="B68" t="str">
        <f>IF(VLOOKUP(vlookup!A68,Sheet1!A67:F318,6,FALSE)="Paid","Eligible","Not Eligible")</f>
        <v>Eligible</v>
      </c>
      <c r="C68">
        <f>VLOOKUP(vlookup!A68,Sheet1!$A$1:$I$252,9,FALSE)</f>
        <v>9981200066</v>
      </c>
      <c r="D68" t="str">
        <f>VLOOKUP(A68,Sheet1!$A$1:$I$252,8,FALSE)</f>
        <v>Nokia</v>
      </c>
    </row>
    <row r="69" spans="1:4" x14ac:dyDescent="0.3">
      <c r="A69" t="str">
        <f>VLOOKUP(Sheet1!A69,Sheet1!$A$1:$I$252,1,FALSE)</f>
        <v>A068</v>
      </c>
      <c r="B69" t="str">
        <f>IF(VLOOKUP(vlookup!A69,Sheet1!A68:F319,6,FALSE)="Paid","Eligible","Not Eligible")</f>
        <v>Not Eligible</v>
      </c>
      <c r="C69">
        <f>VLOOKUP(vlookup!A69,Sheet1!$A$1:$I$252,9,FALSE)</f>
        <v>9981200067</v>
      </c>
      <c r="D69" t="str">
        <f>VLOOKUP(A69,Sheet1!$A$1:$I$252,8,FALSE)</f>
        <v>Nokia</v>
      </c>
    </row>
    <row r="70" spans="1:4" x14ac:dyDescent="0.3">
      <c r="A70" t="str">
        <f>VLOOKUP(Sheet1!A70,Sheet1!$A$1:$I$252,1,FALSE)</f>
        <v>A069</v>
      </c>
      <c r="B70" t="str">
        <f>IF(VLOOKUP(vlookup!A70,Sheet1!A69:F320,6,FALSE)="Paid","Eligible","Not Eligible")</f>
        <v>Not Eligible</v>
      </c>
      <c r="C70">
        <f>VLOOKUP(vlookup!A70,Sheet1!$A$1:$I$252,9,FALSE)</f>
        <v>9981200068</v>
      </c>
      <c r="D70" t="str">
        <f>VLOOKUP(A70,Sheet1!$A$1:$I$252,8,FALSE)</f>
        <v>Volcano</v>
      </c>
    </row>
    <row r="71" spans="1:4" x14ac:dyDescent="0.3">
      <c r="A71" t="str">
        <f>VLOOKUP(Sheet1!A71,Sheet1!$A$1:$I$252,1,FALSE)</f>
        <v>A070</v>
      </c>
      <c r="B71" t="str">
        <f>IF(VLOOKUP(vlookup!A71,Sheet1!A70:F321,6,FALSE)="Paid","Eligible","Not Eligible")</f>
        <v>Eligible</v>
      </c>
      <c r="C71">
        <f>VLOOKUP(vlookup!A71,Sheet1!$A$1:$I$252,9,FALSE)</f>
        <v>9981200069</v>
      </c>
      <c r="D71" t="str">
        <f>VLOOKUP(A71,Sheet1!$A$1:$I$252,8,FALSE)</f>
        <v>Nokia</v>
      </c>
    </row>
    <row r="72" spans="1:4" x14ac:dyDescent="0.3">
      <c r="A72" t="str">
        <f>VLOOKUP(Sheet1!A72,Sheet1!$A$1:$I$252,1,FALSE)</f>
        <v>A071</v>
      </c>
      <c r="B72" t="str">
        <f>IF(VLOOKUP(vlookup!A72,Sheet1!A71:F322,6,FALSE)="Paid","Eligible","Not Eligible")</f>
        <v>Eligible</v>
      </c>
      <c r="C72">
        <f>VLOOKUP(vlookup!A72,Sheet1!$A$1:$I$252,9,FALSE)</f>
        <v>9981200070</v>
      </c>
      <c r="D72" t="str">
        <f>VLOOKUP(A72,Sheet1!$A$1:$I$252,8,FALSE)</f>
        <v>Volcano</v>
      </c>
    </row>
    <row r="73" spans="1:4" x14ac:dyDescent="0.3">
      <c r="A73" t="str">
        <f>VLOOKUP(Sheet1!A73,Sheet1!$A$1:$I$252,1,FALSE)</f>
        <v>A072</v>
      </c>
      <c r="B73" t="str">
        <f>IF(VLOOKUP(vlookup!A73,Sheet1!A72:F323,6,FALSE)="Paid","Eligible","Not Eligible")</f>
        <v>Not Eligible</v>
      </c>
      <c r="C73">
        <f>VLOOKUP(vlookup!A73,Sheet1!$A$1:$I$252,9,FALSE)</f>
        <v>9981200071</v>
      </c>
      <c r="D73" t="str">
        <f>VLOOKUP(A73,Sheet1!$A$1:$I$252,8,FALSE)</f>
        <v>Volcano</v>
      </c>
    </row>
    <row r="74" spans="1:4" x14ac:dyDescent="0.3">
      <c r="A74" t="str">
        <f>VLOOKUP(Sheet1!A74,Sheet1!$A$1:$I$252,1,FALSE)</f>
        <v>A073</v>
      </c>
      <c r="B74" t="str">
        <f>IF(VLOOKUP(vlookup!A74,Sheet1!A73:F324,6,FALSE)="Paid","Eligible","Not Eligible")</f>
        <v>Eligible</v>
      </c>
      <c r="C74">
        <f>VLOOKUP(vlookup!A74,Sheet1!$A$1:$I$252,9,FALSE)</f>
        <v>9981200072</v>
      </c>
      <c r="D74" t="str">
        <f>VLOOKUP(A74,Sheet1!$A$1:$I$252,8,FALSE)</f>
        <v>Volcano</v>
      </c>
    </row>
    <row r="75" spans="1:4" x14ac:dyDescent="0.3">
      <c r="A75" t="str">
        <f>VLOOKUP(Sheet1!A75,Sheet1!$A$1:$I$252,1,FALSE)</f>
        <v>A074</v>
      </c>
      <c r="B75" t="str">
        <f>IF(VLOOKUP(vlookup!A75,Sheet1!A74:F325,6,FALSE)="Paid","Eligible","Not Eligible")</f>
        <v>Eligible</v>
      </c>
      <c r="C75">
        <f>VLOOKUP(vlookup!A75,Sheet1!$A$1:$I$252,9,FALSE)</f>
        <v>9981200073</v>
      </c>
      <c r="D75" t="str">
        <f>VLOOKUP(A75,Sheet1!$A$1:$I$252,8,FALSE)</f>
        <v>Nokia</v>
      </c>
    </row>
    <row r="76" spans="1:4" x14ac:dyDescent="0.3">
      <c r="A76" t="str">
        <f>VLOOKUP(Sheet1!A76,Sheet1!$A$1:$I$252,1,FALSE)</f>
        <v>A075</v>
      </c>
      <c r="B76" t="str">
        <f>IF(VLOOKUP(vlookup!A76,Sheet1!A75:F326,6,FALSE)="Paid","Eligible","Not Eligible")</f>
        <v>Not Eligible</v>
      </c>
      <c r="C76">
        <f>VLOOKUP(vlookup!A76,Sheet1!$A$1:$I$252,9,FALSE)</f>
        <v>9981200074</v>
      </c>
      <c r="D76" t="str">
        <f>VLOOKUP(A76,Sheet1!$A$1:$I$252,8,FALSE)</f>
        <v>Nokia</v>
      </c>
    </row>
    <row r="77" spans="1:4" x14ac:dyDescent="0.3">
      <c r="A77" t="str">
        <f>VLOOKUP(Sheet1!A77,Sheet1!$A$1:$I$252,1,FALSE)</f>
        <v>A076</v>
      </c>
      <c r="B77" t="str">
        <f>IF(VLOOKUP(vlookup!A77,Sheet1!A76:F327,6,FALSE)="Paid","Eligible","Not Eligible")</f>
        <v>Eligible</v>
      </c>
      <c r="C77">
        <f>VLOOKUP(vlookup!A77,Sheet1!$A$1:$I$252,9,FALSE)</f>
        <v>9981200075</v>
      </c>
      <c r="D77" t="str">
        <f>VLOOKUP(A77,Sheet1!$A$1:$I$252,8,FALSE)</f>
        <v>Volcano</v>
      </c>
    </row>
    <row r="78" spans="1:4" x14ac:dyDescent="0.3">
      <c r="A78" t="str">
        <f>VLOOKUP(Sheet1!A78,Sheet1!$A$1:$I$252,1,FALSE)</f>
        <v>A077</v>
      </c>
      <c r="B78" t="str">
        <f>IF(VLOOKUP(vlookup!A78,Sheet1!A77:F328,6,FALSE)="Paid","Eligible","Not Eligible")</f>
        <v>Eligible</v>
      </c>
      <c r="C78">
        <f>VLOOKUP(vlookup!A78,Sheet1!$A$1:$I$252,9,FALSE)</f>
        <v>9981200076</v>
      </c>
      <c r="D78" t="str">
        <f>VLOOKUP(A78,Sheet1!$A$1:$I$252,8,FALSE)</f>
        <v>Volcano</v>
      </c>
    </row>
    <row r="79" spans="1:4" x14ac:dyDescent="0.3">
      <c r="A79" t="str">
        <f>VLOOKUP(Sheet1!A79,Sheet1!$A$1:$I$252,1,FALSE)</f>
        <v>A078</v>
      </c>
      <c r="B79" t="str">
        <f>IF(VLOOKUP(vlookup!A79,Sheet1!A78:F329,6,FALSE)="Paid","Eligible","Not Eligible")</f>
        <v>Eligible</v>
      </c>
      <c r="C79">
        <f>VLOOKUP(vlookup!A79,Sheet1!$A$1:$I$252,9,FALSE)</f>
        <v>9981200077</v>
      </c>
      <c r="D79" t="str">
        <f>VLOOKUP(A79,Sheet1!$A$1:$I$252,8,FALSE)</f>
        <v>Nokia</v>
      </c>
    </row>
    <row r="80" spans="1:4" x14ac:dyDescent="0.3">
      <c r="A80" t="str">
        <f>VLOOKUP(Sheet1!A80,Sheet1!$A$1:$I$252,1,FALSE)</f>
        <v>A079</v>
      </c>
      <c r="B80" t="str">
        <f>IF(VLOOKUP(vlookup!A80,Sheet1!A79:F330,6,FALSE)="Paid","Eligible","Not Eligible")</f>
        <v>Eligible</v>
      </c>
      <c r="C80">
        <f>VLOOKUP(vlookup!A80,Sheet1!$A$1:$I$252,9,FALSE)</f>
        <v>9981200078</v>
      </c>
      <c r="D80" t="str">
        <f>VLOOKUP(A80,Sheet1!$A$1:$I$252,8,FALSE)</f>
        <v>Volcano</v>
      </c>
    </row>
    <row r="81" spans="1:4" x14ac:dyDescent="0.3">
      <c r="A81" t="str">
        <f>VLOOKUP(Sheet1!A81,Sheet1!$A$1:$I$252,1,FALSE)</f>
        <v>A080</v>
      </c>
      <c r="B81" t="str">
        <f>IF(VLOOKUP(vlookup!A81,Sheet1!A80:F331,6,FALSE)="Paid","Eligible","Not Eligible")</f>
        <v>Eligible</v>
      </c>
      <c r="C81">
        <f>VLOOKUP(vlookup!A81,Sheet1!$A$1:$I$252,9,FALSE)</f>
        <v>9981200079</v>
      </c>
      <c r="D81" t="str">
        <f>VLOOKUP(A81,Sheet1!$A$1:$I$252,8,FALSE)</f>
        <v>Volcano</v>
      </c>
    </row>
    <row r="82" spans="1:4" x14ac:dyDescent="0.3">
      <c r="A82" t="str">
        <f>VLOOKUP(Sheet1!A82,Sheet1!$A$1:$I$252,1,FALSE)</f>
        <v>A081</v>
      </c>
      <c r="B82" t="str">
        <f>IF(VLOOKUP(vlookup!A82,Sheet1!A81:F332,6,FALSE)="Paid","Eligible","Not Eligible")</f>
        <v>Not Eligible</v>
      </c>
      <c r="C82">
        <f>VLOOKUP(vlookup!A82,Sheet1!$A$1:$I$252,9,FALSE)</f>
        <v>9981200080</v>
      </c>
      <c r="D82" t="str">
        <f>VLOOKUP(A82,Sheet1!$A$1:$I$252,8,FALSE)</f>
        <v>Volcano</v>
      </c>
    </row>
    <row r="83" spans="1:4" x14ac:dyDescent="0.3">
      <c r="A83" t="str">
        <f>VLOOKUP(Sheet1!A83,Sheet1!$A$1:$I$252,1,FALSE)</f>
        <v>A082</v>
      </c>
      <c r="B83" t="str">
        <f>IF(VLOOKUP(vlookup!A83,Sheet1!A82:F333,6,FALSE)="Paid","Eligible","Not Eligible")</f>
        <v>Not Eligible</v>
      </c>
      <c r="C83">
        <f>VLOOKUP(vlookup!A83,Sheet1!$A$1:$I$252,9,FALSE)</f>
        <v>9981200081</v>
      </c>
      <c r="D83" t="str">
        <f>VLOOKUP(A83,Sheet1!$A$1:$I$252,8,FALSE)</f>
        <v>Nokia</v>
      </c>
    </row>
    <row r="84" spans="1:4" x14ac:dyDescent="0.3">
      <c r="A84" t="str">
        <f>VLOOKUP(Sheet1!A84,Sheet1!$A$1:$I$252,1,FALSE)</f>
        <v>A083</v>
      </c>
      <c r="B84" t="str">
        <f>IF(VLOOKUP(vlookup!A84,Sheet1!A83:F334,6,FALSE)="Paid","Eligible","Not Eligible")</f>
        <v>Not Eligible</v>
      </c>
      <c r="C84">
        <f>VLOOKUP(vlookup!A84,Sheet1!$A$1:$I$252,9,FALSE)</f>
        <v>9981200082</v>
      </c>
      <c r="D84" t="str">
        <f>VLOOKUP(A84,Sheet1!$A$1:$I$252,8,FALSE)</f>
        <v>Volcano</v>
      </c>
    </row>
    <row r="85" spans="1:4" x14ac:dyDescent="0.3">
      <c r="A85" t="str">
        <f>VLOOKUP(Sheet1!A85,Sheet1!$A$1:$I$252,1,FALSE)</f>
        <v>A084</v>
      </c>
      <c r="B85" t="str">
        <f>IF(VLOOKUP(vlookup!A85,Sheet1!A84:F335,6,FALSE)="Paid","Eligible","Not Eligible")</f>
        <v>Not Eligible</v>
      </c>
      <c r="C85">
        <f>VLOOKUP(vlookup!A85,Sheet1!$A$1:$I$252,9,FALSE)</f>
        <v>9981200083</v>
      </c>
      <c r="D85" t="str">
        <f>VLOOKUP(A85,Sheet1!$A$1:$I$252,8,FALSE)</f>
        <v>Volcano</v>
      </c>
    </row>
    <row r="86" spans="1:4" x14ac:dyDescent="0.3">
      <c r="A86" t="str">
        <f>VLOOKUP(Sheet1!A86,Sheet1!$A$1:$I$252,1,FALSE)</f>
        <v>A085</v>
      </c>
      <c r="B86" t="str">
        <f>IF(VLOOKUP(vlookup!A86,Sheet1!A85:F336,6,FALSE)="Paid","Eligible","Not Eligible")</f>
        <v>Eligible</v>
      </c>
      <c r="C86">
        <f>VLOOKUP(vlookup!A86,Sheet1!$A$1:$I$252,9,FALSE)</f>
        <v>9981200084</v>
      </c>
      <c r="D86" t="str">
        <f>VLOOKUP(A86,Sheet1!$A$1:$I$252,8,FALSE)</f>
        <v>Volcano</v>
      </c>
    </row>
    <row r="87" spans="1:4" x14ac:dyDescent="0.3">
      <c r="A87" t="str">
        <f>VLOOKUP(Sheet1!A87,Sheet1!$A$1:$I$252,1,FALSE)</f>
        <v>A086</v>
      </c>
      <c r="B87" t="str">
        <f>IF(VLOOKUP(vlookup!A87,Sheet1!A86:F337,6,FALSE)="Paid","Eligible","Not Eligible")</f>
        <v>Eligible</v>
      </c>
      <c r="C87">
        <f>VLOOKUP(vlookup!A87,Sheet1!$A$1:$I$252,9,FALSE)</f>
        <v>9981200085</v>
      </c>
      <c r="D87" t="str">
        <f>VLOOKUP(A87,Sheet1!$A$1:$I$252,8,FALSE)</f>
        <v>Nokia</v>
      </c>
    </row>
    <row r="88" spans="1:4" x14ac:dyDescent="0.3">
      <c r="A88" t="str">
        <f>VLOOKUP(Sheet1!A88,Sheet1!$A$1:$I$252,1,FALSE)</f>
        <v>A087</v>
      </c>
      <c r="B88" t="str">
        <f>IF(VLOOKUP(vlookup!A88,Sheet1!A87:F338,6,FALSE)="Paid","Eligible","Not Eligible")</f>
        <v>Not Eligible</v>
      </c>
      <c r="C88">
        <f>VLOOKUP(vlookup!A88,Sheet1!$A$1:$I$252,9,FALSE)</f>
        <v>9981200086</v>
      </c>
      <c r="D88" t="str">
        <f>VLOOKUP(A88,Sheet1!$A$1:$I$252,8,FALSE)</f>
        <v>Nokia</v>
      </c>
    </row>
    <row r="89" spans="1:4" x14ac:dyDescent="0.3">
      <c r="A89" t="str">
        <f>VLOOKUP(Sheet1!A89,Sheet1!$A$1:$I$252,1,FALSE)</f>
        <v>A088</v>
      </c>
      <c r="B89" t="str">
        <f>IF(VLOOKUP(vlookup!A89,Sheet1!A88:F339,6,FALSE)="Paid","Eligible","Not Eligible")</f>
        <v>Not Eligible</v>
      </c>
      <c r="C89">
        <f>VLOOKUP(vlookup!A89,Sheet1!$A$1:$I$252,9,FALSE)</f>
        <v>9981200087</v>
      </c>
      <c r="D89" t="str">
        <f>VLOOKUP(A89,Sheet1!$A$1:$I$252,8,FALSE)</f>
        <v>Nokia</v>
      </c>
    </row>
    <row r="90" spans="1:4" x14ac:dyDescent="0.3">
      <c r="A90" t="str">
        <f>VLOOKUP(Sheet1!A90,Sheet1!$A$1:$I$252,1,FALSE)</f>
        <v>A089</v>
      </c>
      <c r="B90" t="str">
        <f>IF(VLOOKUP(vlookup!A90,Sheet1!A89:F340,6,FALSE)="Paid","Eligible","Not Eligible")</f>
        <v>Not Eligible</v>
      </c>
      <c r="C90">
        <f>VLOOKUP(vlookup!A90,Sheet1!$A$1:$I$252,9,FALSE)</f>
        <v>9981200088</v>
      </c>
      <c r="D90" t="str">
        <f>VLOOKUP(A90,Sheet1!$A$1:$I$252,8,FALSE)</f>
        <v>Nokia</v>
      </c>
    </row>
    <row r="91" spans="1:4" x14ac:dyDescent="0.3">
      <c r="A91" t="str">
        <f>VLOOKUP(Sheet1!A91,Sheet1!$A$1:$I$252,1,FALSE)</f>
        <v>A090</v>
      </c>
      <c r="B91" t="str">
        <f>IF(VLOOKUP(vlookup!A91,Sheet1!A90:F341,6,FALSE)="Paid","Eligible","Not Eligible")</f>
        <v>Eligible</v>
      </c>
      <c r="C91">
        <f>VLOOKUP(vlookup!A91,Sheet1!$A$1:$I$252,9,FALSE)</f>
        <v>9981200089</v>
      </c>
      <c r="D91" t="str">
        <f>VLOOKUP(A91,Sheet1!$A$1:$I$252,8,FALSE)</f>
        <v>Nokia</v>
      </c>
    </row>
    <row r="92" spans="1:4" x14ac:dyDescent="0.3">
      <c r="A92" t="str">
        <f>VLOOKUP(Sheet1!A92,Sheet1!$A$1:$I$252,1,FALSE)</f>
        <v>A091</v>
      </c>
      <c r="B92" t="str">
        <f>IF(VLOOKUP(vlookup!A92,Sheet1!A91:F342,6,FALSE)="Paid","Eligible","Not Eligible")</f>
        <v>Eligible</v>
      </c>
      <c r="C92">
        <f>VLOOKUP(vlookup!A92,Sheet1!$A$1:$I$252,9,FALSE)</f>
        <v>9981200090</v>
      </c>
      <c r="D92" t="str">
        <f>VLOOKUP(A92,Sheet1!$A$1:$I$252,8,FALSE)</f>
        <v>Nokia</v>
      </c>
    </row>
    <row r="93" spans="1:4" x14ac:dyDescent="0.3">
      <c r="A93" t="str">
        <f>VLOOKUP(Sheet1!A93,Sheet1!$A$1:$I$252,1,FALSE)</f>
        <v>A092</v>
      </c>
      <c r="B93" t="str">
        <f>IF(VLOOKUP(vlookup!A93,Sheet1!A92:F343,6,FALSE)="Paid","Eligible","Not Eligible")</f>
        <v>Not Eligible</v>
      </c>
      <c r="C93">
        <f>VLOOKUP(vlookup!A93,Sheet1!$A$1:$I$252,9,FALSE)</f>
        <v>9981200091</v>
      </c>
      <c r="D93" t="str">
        <f>VLOOKUP(A93,Sheet1!$A$1:$I$252,8,FALSE)</f>
        <v>Nokia</v>
      </c>
    </row>
    <row r="94" spans="1:4" x14ac:dyDescent="0.3">
      <c r="A94" t="str">
        <f>VLOOKUP(Sheet1!A94,Sheet1!$A$1:$I$252,1,FALSE)</f>
        <v>A093</v>
      </c>
      <c r="B94" t="str">
        <f>IF(VLOOKUP(vlookup!A94,Sheet1!A93:F344,6,FALSE)="Paid","Eligible","Not Eligible")</f>
        <v>Not Eligible</v>
      </c>
      <c r="C94">
        <f>VLOOKUP(vlookup!A94,Sheet1!$A$1:$I$252,9,FALSE)</f>
        <v>9981200092</v>
      </c>
      <c r="D94" t="str">
        <f>VLOOKUP(A94,Sheet1!$A$1:$I$252,8,FALSE)</f>
        <v>Nokia</v>
      </c>
    </row>
    <row r="95" spans="1:4" x14ac:dyDescent="0.3">
      <c r="A95" t="str">
        <f>VLOOKUP(Sheet1!A95,Sheet1!$A$1:$I$252,1,FALSE)</f>
        <v>A094</v>
      </c>
      <c r="B95" t="str">
        <f>IF(VLOOKUP(vlookup!A95,Sheet1!A94:F345,6,FALSE)="Paid","Eligible","Not Eligible")</f>
        <v>Eligible</v>
      </c>
      <c r="C95">
        <f>VLOOKUP(vlookup!A95,Sheet1!$A$1:$I$252,9,FALSE)</f>
        <v>9981200093</v>
      </c>
      <c r="D95" t="str">
        <f>VLOOKUP(A95,Sheet1!$A$1:$I$252,8,FALSE)</f>
        <v>Volcano</v>
      </c>
    </row>
    <row r="96" spans="1:4" x14ac:dyDescent="0.3">
      <c r="A96" t="str">
        <f>VLOOKUP(Sheet1!A96,Sheet1!$A$1:$I$252,1,FALSE)</f>
        <v>A095</v>
      </c>
      <c r="B96" t="str">
        <f>IF(VLOOKUP(vlookup!A96,Sheet1!A95:F346,6,FALSE)="Paid","Eligible","Not Eligible")</f>
        <v>Eligible</v>
      </c>
      <c r="C96">
        <f>VLOOKUP(vlookup!A96,Sheet1!$A$1:$I$252,9,FALSE)</f>
        <v>9981200094</v>
      </c>
      <c r="D96" t="str">
        <f>VLOOKUP(A96,Sheet1!$A$1:$I$252,8,FALSE)</f>
        <v>Nokia</v>
      </c>
    </row>
    <row r="97" spans="1:4" x14ac:dyDescent="0.3">
      <c r="A97" t="str">
        <f>VLOOKUP(Sheet1!A97,Sheet1!$A$1:$I$252,1,FALSE)</f>
        <v>A096</v>
      </c>
      <c r="B97" t="str">
        <f>IF(VLOOKUP(vlookup!A97,Sheet1!A96:F347,6,FALSE)="Paid","Eligible","Not Eligible")</f>
        <v>Not Eligible</v>
      </c>
      <c r="C97">
        <f>VLOOKUP(vlookup!A97,Sheet1!$A$1:$I$252,9,FALSE)</f>
        <v>9981200095</v>
      </c>
      <c r="D97" t="str">
        <f>VLOOKUP(A97,Sheet1!$A$1:$I$252,8,FALSE)</f>
        <v>Volcano</v>
      </c>
    </row>
    <row r="98" spans="1:4" x14ac:dyDescent="0.3">
      <c r="A98" t="str">
        <f>VLOOKUP(Sheet1!A98,Sheet1!$A$1:$I$252,1,FALSE)</f>
        <v>A097</v>
      </c>
      <c r="B98" t="str">
        <f>IF(VLOOKUP(vlookup!A98,Sheet1!A97:F348,6,FALSE)="Paid","Eligible","Not Eligible")</f>
        <v>Eligible</v>
      </c>
      <c r="C98">
        <f>VLOOKUP(vlookup!A98,Sheet1!$A$1:$I$252,9,FALSE)</f>
        <v>9981200096</v>
      </c>
      <c r="D98" t="str">
        <f>VLOOKUP(A98,Sheet1!$A$1:$I$252,8,FALSE)</f>
        <v>Volcano</v>
      </c>
    </row>
    <row r="99" spans="1:4" x14ac:dyDescent="0.3">
      <c r="A99" t="str">
        <f>VLOOKUP(Sheet1!A99,Sheet1!$A$1:$I$252,1,FALSE)</f>
        <v>A098</v>
      </c>
      <c r="B99" t="str">
        <f>IF(VLOOKUP(vlookup!A99,Sheet1!A98:F349,6,FALSE)="Paid","Eligible","Not Eligible")</f>
        <v>Eligible</v>
      </c>
      <c r="C99">
        <f>VLOOKUP(vlookup!A99,Sheet1!$A$1:$I$252,9,FALSE)</f>
        <v>9981200097</v>
      </c>
      <c r="D99" t="str">
        <f>VLOOKUP(A99,Sheet1!$A$1:$I$252,8,FALSE)</f>
        <v>Volcano</v>
      </c>
    </row>
    <row r="100" spans="1:4" x14ac:dyDescent="0.3">
      <c r="A100" t="str">
        <f>VLOOKUP(Sheet1!A100,Sheet1!$A$1:$I$252,1,FALSE)</f>
        <v>A099</v>
      </c>
      <c r="B100" t="str">
        <f>IF(VLOOKUP(vlookup!A100,Sheet1!A99:F350,6,FALSE)="Paid","Eligible","Not Eligible")</f>
        <v>Not Eligible</v>
      </c>
      <c r="C100">
        <f>VLOOKUP(vlookup!A100,Sheet1!$A$1:$I$252,9,FALSE)</f>
        <v>9981200098</v>
      </c>
      <c r="D100" t="str">
        <f>VLOOKUP(A100,Sheet1!$A$1:$I$252,8,FALSE)</f>
        <v>Nokia</v>
      </c>
    </row>
    <row r="101" spans="1:4" x14ac:dyDescent="0.3">
      <c r="A101" t="str">
        <f>VLOOKUP(Sheet1!A101,Sheet1!$A$1:$I$252,1,FALSE)</f>
        <v>A100</v>
      </c>
      <c r="B101" t="str">
        <f>IF(VLOOKUP(vlookup!A101,Sheet1!A100:F351,6,FALSE)="Paid","Eligible","Not Eligible")</f>
        <v>Eligible</v>
      </c>
      <c r="C101">
        <f>VLOOKUP(vlookup!A101,Sheet1!$A$1:$I$252,9,FALSE)</f>
        <v>9981200099</v>
      </c>
      <c r="D101" t="str">
        <f>VLOOKUP(A101,Sheet1!$A$1:$I$252,8,FALSE)</f>
        <v>Volcano</v>
      </c>
    </row>
    <row r="102" spans="1:4" x14ac:dyDescent="0.3">
      <c r="A102" t="str">
        <f>VLOOKUP(Sheet1!A102,Sheet1!$A$1:$I$252,1,FALSE)</f>
        <v>A101</v>
      </c>
      <c r="B102" t="str">
        <f>IF(VLOOKUP(vlookup!A102,Sheet1!A101:F352,6,FALSE)="Paid","Eligible","Not Eligible")</f>
        <v>Eligible</v>
      </c>
      <c r="C102">
        <f>VLOOKUP(vlookup!A102,Sheet1!$A$1:$I$252,9,FALSE)</f>
        <v>9981200100</v>
      </c>
      <c r="D102" t="str">
        <f>VLOOKUP(A102,Sheet1!$A$1:$I$252,8,FALSE)</f>
        <v>Volcano</v>
      </c>
    </row>
    <row r="103" spans="1:4" x14ac:dyDescent="0.3">
      <c r="A103" t="str">
        <f>VLOOKUP(Sheet1!A103,Sheet1!$A$1:$I$252,1,FALSE)</f>
        <v>A102</v>
      </c>
      <c r="B103" t="str">
        <f>IF(VLOOKUP(vlookup!A103,Sheet1!A102:F353,6,FALSE)="Paid","Eligible","Not Eligible")</f>
        <v>Eligible</v>
      </c>
      <c r="C103">
        <f>VLOOKUP(vlookup!A103,Sheet1!$A$1:$I$252,9,FALSE)</f>
        <v>9981200101</v>
      </c>
      <c r="D103" t="str">
        <f>VLOOKUP(A103,Sheet1!$A$1:$I$252,8,FALSE)</f>
        <v>Volcano</v>
      </c>
    </row>
    <row r="104" spans="1:4" x14ac:dyDescent="0.3">
      <c r="A104" t="str">
        <f>VLOOKUP(Sheet1!A104,Sheet1!$A$1:$I$252,1,FALSE)</f>
        <v>A103</v>
      </c>
      <c r="B104" t="str">
        <f>IF(VLOOKUP(vlookup!A104,Sheet1!A103:F354,6,FALSE)="Paid","Eligible","Not Eligible")</f>
        <v>Eligible</v>
      </c>
      <c r="C104">
        <f>VLOOKUP(vlookup!A104,Sheet1!$A$1:$I$252,9,FALSE)</f>
        <v>9981200102</v>
      </c>
      <c r="D104" t="str">
        <f>VLOOKUP(A104,Sheet1!$A$1:$I$252,8,FALSE)</f>
        <v>Nokia</v>
      </c>
    </row>
    <row r="105" spans="1:4" x14ac:dyDescent="0.3">
      <c r="A105" t="str">
        <f>VLOOKUP(Sheet1!A105,Sheet1!$A$1:$I$252,1,FALSE)</f>
        <v>A104</v>
      </c>
      <c r="B105" t="str">
        <f>IF(VLOOKUP(vlookup!A105,Sheet1!A104:F355,6,FALSE)="Paid","Eligible","Not Eligible")</f>
        <v>Eligible</v>
      </c>
      <c r="C105">
        <f>VLOOKUP(vlookup!A105,Sheet1!$A$1:$I$252,9,FALSE)</f>
        <v>9981200103</v>
      </c>
      <c r="D105" t="str">
        <f>VLOOKUP(A105,Sheet1!$A$1:$I$252,8,FALSE)</f>
        <v>Nokia</v>
      </c>
    </row>
    <row r="106" spans="1:4" x14ac:dyDescent="0.3">
      <c r="A106" t="str">
        <f>VLOOKUP(Sheet1!A106,Sheet1!$A$1:$I$252,1,FALSE)</f>
        <v>A105</v>
      </c>
      <c r="B106" t="str">
        <f>IF(VLOOKUP(vlookup!A106,Sheet1!A105:F356,6,FALSE)="Paid","Eligible","Not Eligible")</f>
        <v>Not Eligible</v>
      </c>
      <c r="C106">
        <f>VLOOKUP(vlookup!A106,Sheet1!$A$1:$I$252,9,FALSE)</f>
        <v>9981200104</v>
      </c>
      <c r="D106" t="str">
        <f>VLOOKUP(A106,Sheet1!$A$1:$I$252,8,FALSE)</f>
        <v>Nokia</v>
      </c>
    </row>
    <row r="107" spans="1:4" x14ac:dyDescent="0.3">
      <c r="A107" t="str">
        <f>VLOOKUP(Sheet1!A107,Sheet1!$A$1:$I$252,1,FALSE)</f>
        <v>A106</v>
      </c>
      <c r="B107" t="str">
        <f>IF(VLOOKUP(vlookup!A107,Sheet1!A106:F357,6,FALSE)="Paid","Eligible","Not Eligible")</f>
        <v>Not Eligible</v>
      </c>
      <c r="C107">
        <f>VLOOKUP(vlookup!A107,Sheet1!$A$1:$I$252,9,FALSE)</f>
        <v>9981200105</v>
      </c>
      <c r="D107" t="str">
        <f>VLOOKUP(A107,Sheet1!$A$1:$I$252,8,FALSE)</f>
        <v>Nokia</v>
      </c>
    </row>
    <row r="108" spans="1:4" x14ac:dyDescent="0.3">
      <c r="A108" t="str">
        <f>VLOOKUP(Sheet1!A108,Sheet1!$A$1:$I$252,1,FALSE)</f>
        <v>A107</v>
      </c>
      <c r="B108" t="str">
        <f>IF(VLOOKUP(vlookup!A108,Sheet1!A107:F358,6,FALSE)="Paid","Eligible","Not Eligible")</f>
        <v>Not Eligible</v>
      </c>
      <c r="C108">
        <f>VLOOKUP(vlookup!A108,Sheet1!$A$1:$I$252,9,FALSE)</f>
        <v>9981200106</v>
      </c>
      <c r="D108" t="str">
        <f>VLOOKUP(A108,Sheet1!$A$1:$I$252,8,FALSE)</f>
        <v>Nokia</v>
      </c>
    </row>
    <row r="109" spans="1:4" x14ac:dyDescent="0.3">
      <c r="A109" t="str">
        <f>VLOOKUP(Sheet1!A109,Sheet1!$A$1:$I$252,1,FALSE)</f>
        <v>A108</v>
      </c>
      <c r="B109" t="str">
        <f>IF(VLOOKUP(vlookup!A109,Sheet1!A108:F359,6,FALSE)="Paid","Eligible","Not Eligible")</f>
        <v>Not Eligible</v>
      </c>
      <c r="C109">
        <f>VLOOKUP(vlookup!A109,Sheet1!$A$1:$I$252,9,FALSE)</f>
        <v>9981200107</v>
      </c>
      <c r="D109" t="str">
        <f>VLOOKUP(A109,Sheet1!$A$1:$I$252,8,FALSE)</f>
        <v>Nokia</v>
      </c>
    </row>
    <row r="110" spans="1:4" x14ac:dyDescent="0.3">
      <c r="A110" t="str">
        <f>VLOOKUP(Sheet1!A110,Sheet1!$A$1:$I$252,1,FALSE)</f>
        <v>A109</v>
      </c>
      <c r="B110" t="str">
        <f>IF(VLOOKUP(vlookup!A110,Sheet1!A109:F360,6,FALSE)="Paid","Eligible","Not Eligible")</f>
        <v>Eligible</v>
      </c>
      <c r="C110">
        <f>VLOOKUP(vlookup!A110,Sheet1!$A$1:$I$252,9,FALSE)</f>
        <v>9981200108</v>
      </c>
      <c r="D110" t="str">
        <f>VLOOKUP(A110,Sheet1!$A$1:$I$252,8,FALSE)</f>
        <v>Nokia</v>
      </c>
    </row>
    <row r="111" spans="1:4" x14ac:dyDescent="0.3">
      <c r="A111" t="str">
        <f>VLOOKUP(Sheet1!A111,Sheet1!$A$1:$I$252,1,FALSE)</f>
        <v>A110</v>
      </c>
      <c r="B111" t="str">
        <f>IF(VLOOKUP(vlookup!A111,Sheet1!A110:F361,6,FALSE)="Paid","Eligible","Not Eligible")</f>
        <v>Eligible</v>
      </c>
      <c r="C111">
        <f>VLOOKUP(vlookup!A111,Sheet1!$A$1:$I$252,9,FALSE)</f>
        <v>9981200109</v>
      </c>
      <c r="D111" t="str">
        <f>VLOOKUP(A111,Sheet1!$A$1:$I$252,8,FALSE)</f>
        <v>Nokia</v>
      </c>
    </row>
    <row r="112" spans="1:4" x14ac:dyDescent="0.3">
      <c r="A112" t="str">
        <f>VLOOKUP(Sheet1!A112,Sheet1!$A$1:$I$252,1,FALSE)</f>
        <v>A111</v>
      </c>
      <c r="B112" t="str">
        <f>IF(VLOOKUP(vlookup!A112,Sheet1!A111:F362,6,FALSE)="Paid","Eligible","Not Eligible")</f>
        <v>Not Eligible</v>
      </c>
      <c r="C112">
        <f>VLOOKUP(vlookup!A112,Sheet1!$A$1:$I$252,9,FALSE)</f>
        <v>9981200110</v>
      </c>
      <c r="D112" t="str">
        <f>VLOOKUP(A112,Sheet1!$A$1:$I$252,8,FALSE)</f>
        <v>Nokia</v>
      </c>
    </row>
    <row r="113" spans="1:4" x14ac:dyDescent="0.3">
      <c r="A113" t="str">
        <f>VLOOKUP(Sheet1!A113,Sheet1!$A$1:$I$252,1,FALSE)</f>
        <v>A112</v>
      </c>
      <c r="B113" t="str">
        <f>IF(VLOOKUP(vlookup!A113,Sheet1!A112:F363,6,FALSE)="Paid","Eligible","Not Eligible")</f>
        <v>Not Eligible</v>
      </c>
      <c r="C113">
        <f>VLOOKUP(vlookup!A113,Sheet1!$A$1:$I$252,9,FALSE)</f>
        <v>9981200111</v>
      </c>
      <c r="D113" t="str">
        <f>VLOOKUP(A113,Sheet1!$A$1:$I$252,8,FALSE)</f>
        <v>Nokia</v>
      </c>
    </row>
    <row r="114" spans="1:4" x14ac:dyDescent="0.3">
      <c r="A114" t="str">
        <f>VLOOKUP(Sheet1!A114,Sheet1!$A$1:$I$252,1,FALSE)</f>
        <v>A113</v>
      </c>
      <c r="B114" t="str">
        <f>IF(VLOOKUP(vlookup!A114,Sheet1!A113:F364,6,FALSE)="Paid","Eligible","Not Eligible")</f>
        <v>Not Eligible</v>
      </c>
      <c r="C114">
        <f>VLOOKUP(vlookup!A114,Sheet1!$A$1:$I$252,9,FALSE)</f>
        <v>9981200112</v>
      </c>
      <c r="D114" t="str">
        <f>VLOOKUP(A114,Sheet1!$A$1:$I$252,8,FALSE)</f>
        <v>Nokia</v>
      </c>
    </row>
    <row r="115" spans="1:4" x14ac:dyDescent="0.3">
      <c r="A115" t="str">
        <f>VLOOKUP(Sheet1!A115,Sheet1!$A$1:$I$252,1,FALSE)</f>
        <v>A114</v>
      </c>
      <c r="B115" t="str">
        <f>IF(VLOOKUP(vlookup!A115,Sheet1!A114:F365,6,FALSE)="Paid","Eligible","Not Eligible")</f>
        <v>Eligible</v>
      </c>
      <c r="C115">
        <f>VLOOKUP(vlookup!A115,Sheet1!$A$1:$I$252,9,FALSE)</f>
        <v>9981200113</v>
      </c>
      <c r="D115" t="str">
        <f>VLOOKUP(A115,Sheet1!$A$1:$I$252,8,FALSE)</f>
        <v>Volcano</v>
      </c>
    </row>
    <row r="116" spans="1:4" x14ac:dyDescent="0.3">
      <c r="A116" t="str">
        <f>VLOOKUP(Sheet1!A116,Sheet1!$A$1:$I$252,1,FALSE)</f>
        <v>A115</v>
      </c>
      <c r="B116" t="str">
        <f>IF(VLOOKUP(vlookup!A116,Sheet1!A115:F366,6,FALSE)="Paid","Eligible","Not Eligible")</f>
        <v>Eligible</v>
      </c>
      <c r="C116">
        <f>VLOOKUP(vlookup!A116,Sheet1!$A$1:$I$252,9,FALSE)</f>
        <v>9981200114</v>
      </c>
      <c r="D116" t="str">
        <f>VLOOKUP(A116,Sheet1!$A$1:$I$252,8,FALSE)</f>
        <v>Nokia</v>
      </c>
    </row>
    <row r="117" spans="1:4" x14ac:dyDescent="0.3">
      <c r="A117" t="str">
        <f>VLOOKUP(Sheet1!A117,Sheet1!$A$1:$I$252,1,FALSE)</f>
        <v>A116</v>
      </c>
      <c r="B117" t="str">
        <f>IF(VLOOKUP(vlookup!A117,Sheet1!A116:F367,6,FALSE)="Paid","Eligible","Not Eligible")</f>
        <v>Not Eligible</v>
      </c>
      <c r="C117">
        <f>VLOOKUP(vlookup!A117,Sheet1!$A$1:$I$252,9,FALSE)</f>
        <v>9981200115</v>
      </c>
      <c r="D117" t="str">
        <f>VLOOKUP(A117,Sheet1!$A$1:$I$252,8,FALSE)</f>
        <v>Volcano</v>
      </c>
    </row>
    <row r="118" spans="1:4" x14ac:dyDescent="0.3">
      <c r="A118" t="str">
        <f>VLOOKUP(Sheet1!A118,Sheet1!$A$1:$I$252,1,FALSE)</f>
        <v>A117</v>
      </c>
      <c r="B118" t="str">
        <f>IF(VLOOKUP(vlookup!A118,Sheet1!A117:F368,6,FALSE)="Paid","Eligible","Not Eligible")</f>
        <v>Not Eligible</v>
      </c>
      <c r="C118">
        <f>VLOOKUP(vlookup!A118,Sheet1!$A$1:$I$252,9,FALSE)</f>
        <v>9981200116</v>
      </c>
      <c r="D118" t="str">
        <f>VLOOKUP(A118,Sheet1!$A$1:$I$252,8,FALSE)</f>
        <v>Volcano</v>
      </c>
    </row>
    <row r="119" spans="1:4" x14ac:dyDescent="0.3">
      <c r="A119" t="str">
        <f>VLOOKUP(Sheet1!A119,Sheet1!$A$1:$I$252,1,FALSE)</f>
        <v>A118</v>
      </c>
      <c r="B119" t="str">
        <f>IF(VLOOKUP(vlookup!A119,Sheet1!A118:F369,6,FALSE)="Paid","Eligible","Not Eligible")</f>
        <v>Eligible</v>
      </c>
      <c r="C119">
        <f>VLOOKUP(vlookup!A119,Sheet1!$A$1:$I$252,9,FALSE)</f>
        <v>9981200117</v>
      </c>
      <c r="D119" t="str">
        <f>VLOOKUP(A119,Sheet1!$A$1:$I$252,8,FALSE)</f>
        <v>Volcano</v>
      </c>
    </row>
    <row r="120" spans="1:4" x14ac:dyDescent="0.3">
      <c r="A120" t="str">
        <f>VLOOKUP(Sheet1!A120,Sheet1!$A$1:$I$252,1,FALSE)</f>
        <v>A119</v>
      </c>
      <c r="B120" t="str">
        <f>IF(VLOOKUP(vlookup!A120,Sheet1!A119:F370,6,FALSE)="Paid","Eligible","Not Eligible")</f>
        <v>Eligible</v>
      </c>
      <c r="C120">
        <f>VLOOKUP(vlookup!A120,Sheet1!$A$1:$I$252,9,FALSE)</f>
        <v>9981200118</v>
      </c>
      <c r="D120" t="str">
        <f>VLOOKUP(A120,Sheet1!$A$1:$I$252,8,FALSE)</f>
        <v>Nokia</v>
      </c>
    </row>
    <row r="121" spans="1:4" x14ac:dyDescent="0.3">
      <c r="A121" t="str">
        <f>VLOOKUP(Sheet1!A121,Sheet1!$A$1:$I$252,1,FALSE)</f>
        <v>A120</v>
      </c>
      <c r="B121" t="str">
        <f>IF(VLOOKUP(vlookup!A121,Sheet1!A120:F371,6,FALSE)="Paid","Eligible","Not Eligible")</f>
        <v>Not Eligible</v>
      </c>
      <c r="C121">
        <f>VLOOKUP(vlookup!A121,Sheet1!$A$1:$I$252,9,FALSE)</f>
        <v>9981200119</v>
      </c>
      <c r="D121" t="str">
        <f>VLOOKUP(A121,Sheet1!$A$1:$I$252,8,FALSE)</f>
        <v>Volcano</v>
      </c>
    </row>
    <row r="122" spans="1:4" x14ac:dyDescent="0.3">
      <c r="A122" t="str">
        <f>VLOOKUP(Sheet1!A122,Sheet1!$A$1:$I$252,1,FALSE)</f>
        <v>A121</v>
      </c>
      <c r="B122" t="str">
        <f>IF(VLOOKUP(vlookup!A122,Sheet1!A121:F372,6,FALSE)="Paid","Eligible","Not Eligible")</f>
        <v>Eligible</v>
      </c>
      <c r="C122">
        <f>VLOOKUP(vlookup!A122,Sheet1!$A$1:$I$252,9,FALSE)</f>
        <v>9981200120</v>
      </c>
      <c r="D122" t="str">
        <f>VLOOKUP(A122,Sheet1!$A$1:$I$252,8,FALSE)</f>
        <v>Volcano</v>
      </c>
    </row>
    <row r="123" spans="1:4" x14ac:dyDescent="0.3">
      <c r="A123" t="str">
        <f>VLOOKUP(Sheet1!A123,Sheet1!$A$1:$I$252,1,FALSE)</f>
        <v>A122</v>
      </c>
      <c r="B123" t="str">
        <f>IF(VLOOKUP(vlookup!A123,Sheet1!A122:F373,6,FALSE)="Paid","Eligible","Not Eligible")</f>
        <v>Eligible</v>
      </c>
      <c r="C123">
        <f>VLOOKUP(vlookup!A123,Sheet1!$A$1:$I$252,9,FALSE)</f>
        <v>9981200121</v>
      </c>
      <c r="D123" t="str">
        <f>VLOOKUP(A123,Sheet1!$A$1:$I$252,8,FALSE)</f>
        <v>Nokia</v>
      </c>
    </row>
    <row r="124" spans="1:4" x14ac:dyDescent="0.3">
      <c r="A124" t="str">
        <f>VLOOKUP(Sheet1!A124,Sheet1!$A$1:$I$252,1,FALSE)</f>
        <v>A123</v>
      </c>
      <c r="B124" t="str">
        <f>IF(VLOOKUP(vlookup!A124,Sheet1!A123:F374,6,FALSE)="Paid","Eligible","Not Eligible")</f>
        <v>Not Eligible</v>
      </c>
      <c r="C124">
        <f>VLOOKUP(vlookup!A124,Sheet1!$A$1:$I$252,9,FALSE)</f>
        <v>9981200122</v>
      </c>
      <c r="D124" t="str">
        <f>VLOOKUP(A124,Sheet1!$A$1:$I$252,8,FALSE)</f>
        <v>Volcano</v>
      </c>
    </row>
    <row r="125" spans="1:4" x14ac:dyDescent="0.3">
      <c r="A125" t="str">
        <f>VLOOKUP(Sheet1!A125,Sheet1!$A$1:$I$252,1,FALSE)</f>
        <v>A124</v>
      </c>
      <c r="B125" t="str">
        <f>IF(VLOOKUP(vlookup!A125,Sheet1!A124:F375,6,FALSE)="Paid","Eligible","Not Eligible")</f>
        <v>Eligible</v>
      </c>
      <c r="C125">
        <f>VLOOKUP(vlookup!A125,Sheet1!$A$1:$I$252,9,FALSE)</f>
        <v>9981200123</v>
      </c>
      <c r="D125" t="str">
        <f>VLOOKUP(A125,Sheet1!$A$1:$I$252,8,FALSE)</f>
        <v>Volcano</v>
      </c>
    </row>
    <row r="126" spans="1:4" x14ac:dyDescent="0.3">
      <c r="A126" t="str">
        <f>VLOOKUP(Sheet1!A126,Sheet1!$A$1:$I$252,1,FALSE)</f>
        <v>A125</v>
      </c>
      <c r="B126" t="str">
        <f>IF(VLOOKUP(vlookup!A126,Sheet1!A125:F376,6,FALSE)="Paid","Eligible","Not Eligible")</f>
        <v>Eligible</v>
      </c>
      <c r="C126">
        <f>VLOOKUP(vlookup!A126,Sheet1!$A$1:$I$252,9,FALSE)</f>
        <v>9981200124</v>
      </c>
      <c r="D126" t="str">
        <f>VLOOKUP(A126,Sheet1!$A$1:$I$252,8,FALSE)</f>
        <v>Volcano</v>
      </c>
    </row>
    <row r="127" spans="1:4" x14ac:dyDescent="0.3">
      <c r="A127" t="str">
        <f>VLOOKUP(Sheet1!A127,Sheet1!$A$1:$I$252,1,FALSE)</f>
        <v>A126</v>
      </c>
      <c r="B127" t="str">
        <f>IF(VLOOKUP(vlookup!A127,Sheet1!A126:F377,6,FALSE)="Paid","Eligible","Not Eligible")</f>
        <v>Eligible</v>
      </c>
      <c r="C127">
        <f>VLOOKUP(vlookup!A127,Sheet1!$A$1:$I$252,9,FALSE)</f>
        <v>9981200125</v>
      </c>
      <c r="D127" t="str">
        <f>VLOOKUP(A127,Sheet1!$A$1:$I$252,8,FALSE)</f>
        <v>Nokia</v>
      </c>
    </row>
    <row r="128" spans="1:4" x14ac:dyDescent="0.3">
      <c r="A128" t="str">
        <f>VLOOKUP(Sheet1!A128,Sheet1!$A$1:$I$252,1,FALSE)</f>
        <v>A127</v>
      </c>
      <c r="B128" t="str">
        <f>IF(VLOOKUP(vlookup!A128,Sheet1!A127:F378,6,FALSE)="Paid","Eligible","Not Eligible")</f>
        <v>Eligible</v>
      </c>
      <c r="C128">
        <f>VLOOKUP(vlookup!A128,Sheet1!$A$1:$I$252,9,FALSE)</f>
        <v>9981200126</v>
      </c>
      <c r="D128" t="str">
        <f>VLOOKUP(A128,Sheet1!$A$1:$I$252,8,FALSE)</f>
        <v>Nokia</v>
      </c>
    </row>
    <row r="129" spans="1:4" x14ac:dyDescent="0.3">
      <c r="A129" t="str">
        <f>VLOOKUP(Sheet1!A129,Sheet1!$A$1:$I$252,1,FALSE)</f>
        <v>A128</v>
      </c>
      <c r="B129" t="str">
        <f>IF(VLOOKUP(vlookup!A129,Sheet1!A128:F379,6,FALSE)="Paid","Eligible","Not Eligible")</f>
        <v>Eligible</v>
      </c>
      <c r="C129">
        <f>VLOOKUP(vlookup!A129,Sheet1!$A$1:$I$252,9,FALSE)</f>
        <v>9981200127</v>
      </c>
      <c r="D129" t="str">
        <f>VLOOKUP(A129,Sheet1!$A$1:$I$252,8,FALSE)</f>
        <v>Nokia</v>
      </c>
    </row>
    <row r="130" spans="1:4" x14ac:dyDescent="0.3">
      <c r="A130" t="str">
        <f>VLOOKUP(Sheet1!A130,Sheet1!$A$1:$I$252,1,FALSE)</f>
        <v>A129</v>
      </c>
      <c r="B130" t="str">
        <f>IF(VLOOKUP(vlookup!A130,Sheet1!A129:F380,6,FALSE)="Paid","Eligible","Not Eligible")</f>
        <v>Not Eligible</v>
      </c>
      <c r="C130">
        <f>VLOOKUP(vlookup!A130,Sheet1!$A$1:$I$252,9,FALSE)</f>
        <v>9981200128</v>
      </c>
      <c r="D130" t="str">
        <f>VLOOKUP(A130,Sheet1!$A$1:$I$252,8,FALSE)</f>
        <v>Nokia</v>
      </c>
    </row>
    <row r="131" spans="1:4" x14ac:dyDescent="0.3">
      <c r="A131" t="str">
        <f>VLOOKUP(Sheet1!A131,Sheet1!$A$1:$I$252,1,FALSE)</f>
        <v>A130</v>
      </c>
      <c r="B131" t="str">
        <f>IF(VLOOKUP(vlookup!A131,Sheet1!A130:F381,6,FALSE)="Paid","Eligible","Not Eligible")</f>
        <v>Not Eligible</v>
      </c>
      <c r="C131">
        <f>VLOOKUP(vlookup!A131,Sheet1!$A$1:$I$252,9,FALSE)</f>
        <v>9981200129</v>
      </c>
      <c r="D131" t="str">
        <f>VLOOKUP(A131,Sheet1!$A$1:$I$252,8,FALSE)</f>
        <v>Nokia</v>
      </c>
    </row>
    <row r="132" spans="1:4" x14ac:dyDescent="0.3">
      <c r="A132" t="str">
        <f>VLOOKUP(Sheet1!A132,Sheet1!$A$1:$I$252,1,FALSE)</f>
        <v>A131</v>
      </c>
      <c r="B132" t="str">
        <f>IF(VLOOKUP(vlookup!A132,Sheet1!A131:F382,6,FALSE)="Paid","Eligible","Not Eligible")</f>
        <v>Not Eligible</v>
      </c>
      <c r="C132">
        <f>VLOOKUP(vlookup!A132,Sheet1!$A$1:$I$252,9,FALSE)</f>
        <v>9981200130</v>
      </c>
      <c r="D132" t="str">
        <f>VLOOKUP(A132,Sheet1!$A$1:$I$252,8,FALSE)</f>
        <v>Nokia</v>
      </c>
    </row>
    <row r="133" spans="1:4" x14ac:dyDescent="0.3">
      <c r="A133" t="str">
        <f>VLOOKUP(Sheet1!A133,Sheet1!$A$1:$I$252,1,FALSE)</f>
        <v>A132</v>
      </c>
      <c r="B133" t="str">
        <f>IF(VLOOKUP(vlookup!A133,Sheet1!A132:F383,6,FALSE)="Paid","Eligible","Not Eligible")</f>
        <v>Not Eligible</v>
      </c>
      <c r="C133">
        <f>VLOOKUP(vlookup!A133,Sheet1!$A$1:$I$252,9,FALSE)</f>
        <v>9981200131</v>
      </c>
      <c r="D133" t="str">
        <f>VLOOKUP(A133,Sheet1!$A$1:$I$252,8,FALSE)</f>
        <v>Nokia</v>
      </c>
    </row>
    <row r="134" spans="1:4" x14ac:dyDescent="0.3">
      <c r="A134" t="str">
        <f>VLOOKUP(Sheet1!A134,Sheet1!$A$1:$I$252,1,FALSE)</f>
        <v>A133</v>
      </c>
      <c r="B134" t="str">
        <f>IF(VLOOKUP(vlookup!A134,Sheet1!A133:F384,6,FALSE)="Paid","Eligible","Not Eligible")</f>
        <v>Eligible</v>
      </c>
      <c r="C134">
        <f>VLOOKUP(vlookup!A134,Sheet1!$A$1:$I$252,9,FALSE)</f>
        <v>9981200132</v>
      </c>
      <c r="D134" t="str">
        <f>VLOOKUP(A134,Sheet1!$A$1:$I$252,8,FALSE)</f>
        <v>Nokia</v>
      </c>
    </row>
    <row r="135" spans="1:4" x14ac:dyDescent="0.3">
      <c r="A135" t="str">
        <f>VLOOKUP(Sheet1!A135,Sheet1!$A$1:$I$252,1,FALSE)</f>
        <v>A134</v>
      </c>
      <c r="B135" t="str">
        <f>IF(VLOOKUP(vlookup!A135,Sheet1!A134:F385,6,FALSE)="Paid","Eligible","Not Eligible")</f>
        <v>Eligible</v>
      </c>
      <c r="C135">
        <f>VLOOKUP(vlookup!A135,Sheet1!$A$1:$I$252,9,FALSE)</f>
        <v>9981200133</v>
      </c>
      <c r="D135" t="str">
        <f>VLOOKUP(A135,Sheet1!$A$1:$I$252,8,FALSE)</f>
        <v>Nokia</v>
      </c>
    </row>
    <row r="136" spans="1:4" x14ac:dyDescent="0.3">
      <c r="A136" t="str">
        <f>VLOOKUP(Sheet1!A136,Sheet1!$A$1:$I$252,1,FALSE)</f>
        <v>A135</v>
      </c>
      <c r="B136" t="str">
        <f>IF(VLOOKUP(vlookup!A136,Sheet1!A135:F386,6,FALSE)="Paid","Eligible","Not Eligible")</f>
        <v>Not Eligible</v>
      </c>
      <c r="C136">
        <f>VLOOKUP(vlookup!A136,Sheet1!$A$1:$I$252,9,FALSE)</f>
        <v>9981200134</v>
      </c>
      <c r="D136" t="str">
        <f>VLOOKUP(A136,Sheet1!$A$1:$I$252,8,FALSE)</f>
        <v>Nokia</v>
      </c>
    </row>
    <row r="137" spans="1:4" x14ac:dyDescent="0.3">
      <c r="A137" t="str">
        <f>VLOOKUP(Sheet1!A137,Sheet1!$A$1:$I$252,1,FALSE)</f>
        <v>A136</v>
      </c>
      <c r="B137" t="str">
        <f>IF(VLOOKUP(vlookup!A137,Sheet1!A136:F387,6,FALSE)="Paid","Eligible","Not Eligible")</f>
        <v>Not Eligible</v>
      </c>
      <c r="C137">
        <f>VLOOKUP(vlookup!A137,Sheet1!$A$1:$I$252,9,FALSE)</f>
        <v>9981200135</v>
      </c>
      <c r="D137" t="str">
        <f>VLOOKUP(A137,Sheet1!$A$1:$I$252,8,FALSE)</f>
        <v>Nokia</v>
      </c>
    </row>
    <row r="138" spans="1:4" x14ac:dyDescent="0.3">
      <c r="A138" t="str">
        <f>VLOOKUP(Sheet1!A138,Sheet1!$A$1:$I$252,1,FALSE)</f>
        <v>A137</v>
      </c>
      <c r="B138" t="str">
        <f>IF(VLOOKUP(vlookup!A138,Sheet1!A137:F388,6,FALSE)="Paid","Eligible","Not Eligible")</f>
        <v>Not Eligible</v>
      </c>
      <c r="C138">
        <f>VLOOKUP(vlookup!A138,Sheet1!$A$1:$I$252,9,FALSE)</f>
        <v>9981200136</v>
      </c>
      <c r="D138" t="str">
        <f>VLOOKUP(A138,Sheet1!$A$1:$I$252,8,FALSE)</f>
        <v>Volcano</v>
      </c>
    </row>
    <row r="139" spans="1:4" x14ac:dyDescent="0.3">
      <c r="A139" t="str">
        <f>VLOOKUP(Sheet1!A139,Sheet1!$A$1:$I$252,1,FALSE)</f>
        <v>A138</v>
      </c>
      <c r="B139" t="str">
        <f>IF(VLOOKUP(vlookup!A139,Sheet1!A138:F389,6,FALSE)="Paid","Eligible","Not Eligible")</f>
        <v>Eligible</v>
      </c>
      <c r="C139">
        <f>VLOOKUP(vlookup!A139,Sheet1!$A$1:$I$252,9,FALSE)</f>
        <v>9981200137</v>
      </c>
      <c r="D139" t="str">
        <f>VLOOKUP(A139,Sheet1!$A$1:$I$252,8,FALSE)</f>
        <v>Nokia</v>
      </c>
    </row>
    <row r="140" spans="1:4" x14ac:dyDescent="0.3">
      <c r="A140" t="str">
        <f>VLOOKUP(Sheet1!A140,Sheet1!$A$1:$I$252,1,FALSE)</f>
        <v>A139</v>
      </c>
      <c r="B140" t="str">
        <f>IF(VLOOKUP(vlookup!A140,Sheet1!A139:F390,6,FALSE)="Paid","Eligible","Not Eligible")</f>
        <v>Eligible</v>
      </c>
      <c r="C140">
        <f>VLOOKUP(vlookup!A140,Sheet1!$A$1:$I$252,9,FALSE)</f>
        <v>9981200138</v>
      </c>
      <c r="D140" t="str">
        <f>VLOOKUP(A140,Sheet1!$A$1:$I$252,8,FALSE)</f>
        <v>Volcano</v>
      </c>
    </row>
    <row r="141" spans="1:4" x14ac:dyDescent="0.3">
      <c r="A141" t="str">
        <f>VLOOKUP(Sheet1!A141,Sheet1!$A$1:$I$252,1,FALSE)</f>
        <v>A140</v>
      </c>
      <c r="B141" t="str">
        <f>IF(VLOOKUP(vlookup!A141,Sheet1!A140:F391,6,FALSE)="Paid","Eligible","Not Eligible")</f>
        <v>Not Eligible</v>
      </c>
      <c r="C141">
        <f>VLOOKUP(vlookup!A141,Sheet1!$A$1:$I$252,9,FALSE)</f>
        <v>9981200139</v>
      </c>
      <c r="D141" t="str">
        <f>VLOOKUP(A141,Sheet1!$A$1:$I$252,8,FALSE)</f>
        <v>Volcano</v>
      </c>
    </row>
    <row r="142" spans="1:4" x14ac:dyDescent="0.3">
      <c r="A142" t="str">
        <f>VLOOKUP(Sheet1!A142,Sheet1!$A$1:$I$252,1,FALSE)</f>
        <v>A141</v>
      </c>
      <c r="B142" t="str">
        <f>IF(VLOOKUP(vlookup!A142,Sheet1!A141:F392,6,FALSE)="Paid","Eligible","Not Eligible")</f>
        <v>Not Eligible</v>
      </c>
      <c r="C142">
        <f>VLOOKUP(vlookup!A142,Sheet1!$A$1:$I$252,9,FALSE)</f>
        <v>9981200140</v>
      </c>
      <c r="D142" t="str">
        <f>VLOOKUP(A142,Sheet1!$A$1:$I$252,8,FALSE)</f>
        <v>Volcano</v>
      </c>
    </row>
    <row r="143" spans="1:4" x14ac:dyDescent="0.3">
      <c r="A143" t="str">
        <f>VLOOKUP(Sheet1!A143,Sheet1!$A$1:$I$252,1,FALSE)</f>
        <v>A142</v>
      </c>
      <c r="B143" t="str">
        <f>IF(VLOOKUP(vlookup!A143,Sheet1!A142:F393,6,FALSE)="Paid","Eligible","Not Eligible")</f>
        <v>Eligible</v>
      </c>
      <c r="C143">
        <f>VLOOKUP(vlookup!A143,Sheet1!$A$1:$I$252,9,FALSE)</f>
        <v>9981200141</v>
      </c>
      <c r="D143" t="str">
        <f>VLOOKUP(A143,Sheet1!$A$1:$I$252,8,FALSE)</f>
        <v>Nokia</v>
      </c>
    </row>
    <row r="144" spans="1:4" x14ac:dyDescent="0.3">
      <c r="A144" t="str">
        <f>VLOOKUP(Sheet1!A144,Sheet1!$A$1:$I$252,1,FALSE)</f>
        <v>A143</v>
      </c>
      <c r="B144" t="str">
        <f>IF(VLOOKUP(vlookup!A144,Sheet1!A143:F394,6,FALSE)="Paid","Eligible","Not Eligible")</f>
        <v>Eligible</v>
      </c>
      <c r="C144">
        <f>VLOOKUP(vlookup!A144,Sheet1!$A$1:$I$252,9,FALSE)</f>
        <v>9981200142</v>
      </c>
      <c r="D144" t="str">
        <f>VLOOKUP(A144,Sheet1!$A$1:$I$252,8,FALSE)</f>
        <v>Nokia</v>
      </c>
    </row>
    <row r="145" spans="1:4" x14ac:dyDescent="0.3">
      <c r="A145" t="str">
        <f>VLOOKUP(Sheet1!A145,Sheet1!$A$1:$I$252,1,FALSE)</f>
        <v>A144</v>
      </c>
      <c r="B145" t="str">
        <f>IF(VLOOKUP(vlookup!A145,Sheet1!A144:F395,6,FALSE)="Paid","Eligible","Not Eligible")</f>
        <v>Not Eligible</v>
      </c>
      <c r="C145">
        <f>VLOOKUP(vlookup!A145,Sheet1!$A$1:$I$252,9,FALSE)</f>
        <v>9981200143</v>
      </c>
      <c r="D145" t="str">
        <f>VLOOKUP(A145,Sheet1!$A$1:$I$252,8,FALSE)</f>
        <v>Volcano</v>
      </c>
    </row>
    <row r="146" spans="1:4" x14ac:dyDescent="0.3">
      <c r="A146" t="str">
        <f>VLOOKUP(Sheet1!A146,Sheet1!$A$1:$I$252,1,FALSE)</f>
        <v>A145</v>
      </c>
      <c r="B146" t="str">
        <f>IF(VLOOKUP(vlookup!A146,Sheet1!A145:F396,6,FALSE)="Paid","Eligible","Not Eligible")</f>
        <v>Eligible</v>
      </c>
      <c r="C146">
        <f>VLOOKUP(vlookup!A146,Sheet1!$A$1:$I$252,9,FALSE)</f>
        <v>9981200144</v>
      </c>
      <c r="D146" t="str">
        <f>VLOOKUP(A146,Sheet1!$A$1:$I$252,8,FALSE)</f>
        <v>Volcano</v>
      </c>
    </row>
    <row r="147" spans="1:4" x14ac:dyDescent="0.3">
      <c r="A147" t="str">
        <f>VLOOKUP(Sheet1!A147,Sheet1!$A$1:$I$252,1,FALSE)</f>
        <v>A146</v>
      </c>
      <c r="B147" t="str">
        <f>IF(VLOOKUP(vlookup!A147,Sheet1!A146:F397,6,FALSE)="Paid","Eligible","Not Eligible")</f>
        <v>Eligible</v>
      </c>
      <c r="C147">
        <f>VLOOKUP(vlookup!A147,Sheet1!$A$1:$I$252,9,FALSE)</f>
        <v>9981200145</v>
      </c>
      <c r="D147" t="str">
        <f>VLOOKUP(A147,Sheet1!$A$1:$I$252,8,FALSE)</f>
        <v>Nokia</v>
      </c>
    </row>
    <row r="148" spans="1:4" x14ac:dyDescent="0.3">
      <c r="A148" t="str">
        <f>VLOOKUP(Sheet1!A148,Sheet1!$A$1:$I$252,1,FALSE)</f>
        <v>A147</v>
      </c>
      <c r="B148" t="str">
        <f>IF(VLOOKUP(vlookup!A148,Sheet1!A147:F398,6,FALSE)="Paid","Eligible","Not Eligible")</f>
        <v>Not Eligible</v>
      </c>
      <c r="C148">
        <f>VLOOKUP(vlookup!A148,Sheet1!$A$1:$I$252,9,FALSE)</f>
        <v>9981200146</v>
      </c>
      <c r="D148" t="str">
        <f>VLOOKUP(A148,Sheet1!$A$1:$I$252,8,FALSE)</f>
        <v>Volcano</v>
      </c>
    </row>
    <row r="149" spans="1:4" x14ac:dyDescent="0.3">
      <c r="A149" t="str">
        <f>VLOOKUP(Sheet1!A149,Sheet1!$A$1:$I$252,1,FALSE)</f>
        <v>A148</v>
      </c>
      <c r="B149" t="str">
        <f>IF(VLOOKUP(vlookup!A149,Sheet1!A148:F399,6,FALSE)="Paid","Eligible","Not Eligible")</f>
        <v>Eligible</v>
      </c>
      <c r="C149">
        <f>VLOOKUP(vlookup!A149,Sheet1!$A$1:$I$252,9,FALSE)</f>
        <v>9981200147</v>
      </c>
      <c r="D149" t="str">
        <f>VLOOKUP(A149,Sheet1!$A$1:$I$252,8,FALSE)</f>
        <v>Volcano</v>
      </c>
    </row>
    <row r="150" spans="1:4" x14ac:dyDescent="0.3">
      <c r="A150" t="str">
        <f>VLOOKUP(Sheet1!A150,Sheet1!$A$1:$I$252,1,FALSE)</f>
        <v>A149</v>
      </c>
      <c r="B150" t="str">
        <f>IF(VLOOKUP(vlookup!A150,Sheet1!A149:F400,6,FALSE)="Paid","Eligible","Not Eligible")</f>
        <v>Eligible</v>
      </c>
      <c r="C150">
        <f>VLOOKUP(vlookup!A150,Sheet1!$A$1:$I$252,9,FALSE)</f>
        <v>9981200148</v>
      </c>
      <c r="D150" t="str">
        <f>VLOOKUP(A150,Sheet1!$A$1:$I$252,8,FALSE)</f>
        <v>Volcano</v>
      </c>
    </row>
    <row r="151" spans="1:4" x14ac:dyDescent="0.3">
      <c r="A151" t="str">
        <f>VLOOKUP(Sheet1!A151,Sheet1!$A$1:$I$252,1,FALSE)</f>
        <v>A150</v>
      </c>
      <c r="B151" t="str">
        <f>IF(VLOOKUP(vlookup!A151,Sheet1!A150:F401,6,FALSE)="Paid","Eligible","Not Eligible")</f>
        <v>Eligible</v>
      </c>
      <c r="C151">
        <f>VLOOKUP(vlookup!A151,Sheet1!$A$1:$I$252,9,FALSE)</f>
        <v>9981200149</v>
      </c>
      <c r="D151" t="str">
        <f>VLOOKUP(A151,Sheet1!$A$1:$I$252,8,FALSE)</f>
        <v>Nokia</v>
      </c>
    </row>
    <row r="152" spans="1:4" x14ac:dyDescent="0.3">
      <c r="A152" t="str">
        <f>VLOOKUP(Sheet1!A152,Sheet1!$A$1:$I$252,1,FALSE)</f>
        <v>A151</v>
      </c>
      <c r="B152" t="str">
        <f>IF(VLOOKUP(vlookup!A152,Sheet1!A151:F402,6,FALSE)="Paid","Eligible","Not Eligible")</f>
        <v>Eligible</v>
      </c>
      <c r="C152">
        <f>VLOOKUP(vlookup!A152,Sheet1!$A$1:$I$252,9,FALSE)</f>
        <v>9981200150</v>
      </c>
      <c r="D152" t="str">
        <f>VLOOKUP(A152,Sheet1!$A$1:$I$252,8,FALSE)</f>
        <v>Volcano</v>
      </c>
    </row>
    <row r="153" spans="1:4" x14ac:dyDescent="0.3">
      <c r="A153" t="str">
        <f>VLOOKUP(Sheet1!A153,Sheet1!$A$1:$I$252,1,FALSE)</f>
        <v>A152</v>
      </c>
      <c r="B153" t="str">
        <f>IF(VLOOKUP(vlookup!A153,Sheet1!A152:F403,6,FALSE)="Paid","Eligible","Not Eligible")</f>
        <v>Eligible</v>
      </c>
      <c r="C153">
        <f>VLOOKUP(vlookup!A153,Sheet1!$A$1:$I$252,9,FALSE)</f>
        <v>9981200151</v>
      </c>
      <c r="D153" t="str">
        <f>VLOOKUP(A153,Sheet1!$A$1:$I$252,8,FALSE)</f>
        <v>Volcano</v>
      </c>
    </row>
    <row r="154" spans="1:4" x14ac:dyDescent="0.3">
      <c r="A154" t="str">
        <f>VLOOKUP(Sheet1!A154,Sheet1!$A$1:$I$252,1,FALSE)</f>
        <v>A153</v>
      </c>
      <c r="B154" t="str">
        <f>IF(VLOOKUP(vlookup!A154,Sheet1!A153:F404,6,FALSE)="Paid","Eligible","Not Eligible")</f>
        <v>Not Eligible</v>
      </c>
      <c r="C154">
        <f>VLOOKUP(vlookup!A154,Sheet1!$A$1:$I$252,9,FALSE)</f>
        <v>9981200152</v>
      </c>
      <c r="D154" t="str">
        <f>VLOOKUP(A154,Sheet1!$A$1:$I$252,8,FALSE)</f>
        <v>Volcano</v>
      </c>
    </row>
    <row r="155" spans="1:4" x14ac:dyDescent="0.3">
      <c r="A155" t="str">
        <f>VLOOKUP(Sheet1!A155,Sheet1!$A$1:$I$252,1,FALSE)</f>
        <v>A154</v>
      </c>
      <c r="B155" t="str">
        <f>IF(VLOOKUP(vlookup!A155,Sheet1!A154:F405,6,FALSE)="Paid","Eligible","Not Eligible")</f>
        <v>Not Eligible</v>
      </c>
      <c r="C155">
        <f>VLOOKUP(vlookup!A155,Sheet1!$A$1:$I$252,9,FALSE)</f>
        <v>9981200153</v>
      </c>
      <c r="D155" t="str">
        <f>VLOOKUP(A155,Sheet1!$A$1:$I$252,8,FALSE)</f>
        <v>Nokia</v>
      </c>
    </row>
    <row r="156" spans="1:4" x14ac:dyDescent="0.3">
      <c r="A156" t="str">
        <f>VLOOKUP(Sheet1!A156,Sheet1!$A$1:$I$252,1,FALSE)</f>
        <v>A155</v>
      </c>
      <c r="B156" t="str">
        <f>IF(VLOOKUP(vlookup!A156,Sheet1!A155:F406,6,FALSE)="Paid","Eligible","Not Eligible")</f>
        <v>Not Eligible</v>
      </c>
      <c r="C156">
        <f>VLOOKUP(vlookup!A156,Sheet1!$A$1:$I$252,9,FALSE)</f>
        <v>9981200154</v>
      </c>
      <c r="D156" t="str">
        <f>VLOOKUP(A156,Sheet1!$A$1:$I$252,8,FALSE)</f>
        <v>Nokia</v>
      </c>
    </row>
    <row r="157" spans="1:4" x14ac:dyDescent="0.3">
      <c r="A157" t="str">
        <f>VLOOKUP(Sheet1!A157,Sheet1!$A$1:$I$252,1,FALSE)</f>
        <v>A156</v>
      </c>
      <c r="B157" t="str">
        <f>IF(VLOOKUP(vlookup!A157,Sheet1!A156:F407,6,FALSE)="Paid","Eligible","Not Eligible")</f>
        <v>Not Eligible</v>
      </c>
      <c r="C157">
        <f>VLOOKUP(vlookup!A157,Sheet1!$A$1:$I$252,9,FALSE)</f>
        <v>9981200155</v>
      </c>
      <c r="D157" t="str">
        <f>VLOOKUP(A157,Sheet1!$A$1:$I$252,8,FALSE)</f>
        <v>Nokia</v>
      </c>
    </row>
    <row r="158" spans="1:4" x14ac:dyDescent="0.3">
      <c r="A158" t="str">
        <f>VLOOKUP(Sheet1!A158,Sheet1!$A$1:$I$252,1,FALSE)</f>
        <v>A157</v>
      </c>
      <c r="B158" t="str">
        <f>IF(VLOOKUP(vlookup!A158,Sheet1!A157:F408,6,FALSE)="Paid","Eligible","Not Eligible")</f>
        <v>Eligible</v>
      </c>
      <c r="C158">
        <f>VLOOKUP(vlookup!A158,Sheet1!$A$1:$I$252,9,FALSE)</f>
        <v>9981200156</v>
      </c>
      <c r="D158" t="str">
        <f>VLOOKUP(A158,Sheet1!$A$1:$I$252,8,FALSE)</f>
        <v>Nokia</v>
      </c>
    </row>
    <row r="159" spans="1:4" x14ac:dyDescent="0.3">
      <c r="A159" t="str">
        <f>VLOOKUP(Sheet1!A159,Sheet1!$A$1:$I$252,1,FALSE)</f>
        <v>A158</v>
      </c>
      <c r="B159" t="str">
        <f>IF(VLOOKUP(vlookup!A159,Sheet1!A158:F409,6,FALSE)="Paid","Eligible","Not Eligible")</f>
        <v>Eligible</v>
      </c>
      <c r="C159">
        <f>VLOOKUP(vlookup!A159,Sheet1!$A$1:$I$252,9,FALSE)</f>
        <v>9981200157</v>
      </c>
      <c r="D159" t="str">
        <f>VLOOKUP(A159,Sheet1!$A$1:$I$252,8,FALSE)</f>
        <v>Nokia</v>
      </c>
    </row>
    <row r="160" spans="1:4" x14ac:dyDescent="0.3">
      <c r="A160" t="str">
        <f>VLOOKUP(Sheet1!A160,Sheet1!$A$1:$I$252,1,FALSE)</f>
        <v>A159</v>
      </c>
      <c r="B160" t="str">
        <f>IF(VLOOKUP(vlookup!A160,Sheet1!A159:F410,6,FALSE)="Paid","Eligible","Not Eligible")</f>
        <v>Not Eligible</v>
      </c>
      <c r="C160">
        <f>VLOOKUP(vlookup!A160,Sheet1!$A$1:$I$252,9,FALSE)</f>
        <v>9981200158</v>
      </c>
      <c r="D160" t="str">
        <f>VLOOKUP(A160,Sheet1!$A$1:$I$252,8,FALSE)</f>
        <v>Nokia</v>
      </c>
    </row>
    <row r="161" spans="1:4" x14ac:dyDescent="0.3">
      <c r="A161" t="str">
        <f>VLOOKUP(Sheet1!A161,Sheet1!$A$1:$I$252,1,FALSE)</f>
        <v>A160</v>
      </c>
      <c r="B161" t="str">
        <f>IF(VLOOKUP(vlookup!A161,Sheet1!A160:F411,6,FALSE)="Paid","Eligible","Not Eligible")</f>
        <v>Not Eligible</v>
      </c>
      <c r="C161">
        <f>VLOOKUP(vlookup!A161,Sheet1!$A$1:$I$252,9,FALSE)</f>
        <v>9981200159</v>
      </c>
      <c r="D161" t="str">
        <f>VLOOKUP(A161,Sheet1!$A$1:$I$252,8,FALSE)</f>
        <v>Nokia</v>
      </c>
    </row>
    <row r="162" spans="1:4" x14ac:dyDescent="0.3">
      <c r="A162" t="str">
        <f>VLOOKUP(Sheet1!A162,Sheet1!$A$1:$I$252,1,FALSE)</f>
        <v>A161</v>
      </c>
      <c r="B162" t="str">
        <f>IF(VLOOKUP(vlookup!A162,Sheet1!A161:F412,6,FALSE)="Paid","Eligible","Not Eligible")</f>
        <v>Not Eligible</v>
      </c>
      <c r="C162">
        <f>VLOOKUP(vlookup!A162,Sheet1!$A$1:$I$252,9,FALSE)</f>
        <v>9981200160</v>
      </c>
      <c r="D162" t="str">
        <f>VLOOKUP(A162,Sheet1!$A$1:$I$252,8,FALSE)</f>
        <v>Nokia</v>
      </c>
    </row>
    <row r="163" spans="1:4" x14ac:dyDescent="0.3">
      <c r="A163" t="str">
        <f>VLOOKUP(Sheet1!A163,Sheet1!$A$1:$I$252,1,FALSE)</f>
        <v>A162</v>
      </c>
      <c r="B163" t="str">
        <f>IF(VLOOKUP(vlookup!A163,Sheet1!A162:F413,6,FALSE)="Paid","Eligible","Not Eligible")</f>
        <v>Eligible</v>
      </c>
      <c r="C163">
        <f>VLOOKUP(vlookup!A163,Sheet1!$A$1:$I$252,9,FALSE)</f>
        <v>9981200161</v>
      </c>
      <c r="D163" t="str">
        <f>VLOOKUP(A163,Sheet1!$A$1:$I$252,8,FALSE)</f>
        <v>Volcano</v>
      </c>
    </row>
    <row r="164" spans="1:4" x14ac:dyDescent="0.3">
      <c r="A164" t="str">
        <f>VLOOKUP(Sheet1!A164,Sheet1!$A$1:$I$252,1,FALSE)</f>
        <v>A163</v>
      </c>
      <c r="B164" t="str">
        <f>IF(VLOOKUP(vlookup!A164,Sheet1!A163:F414,6,FALSE)="Paid","Eligible","Not Eligible")</f>
        <v>Eligible</v>
      </c>
      <c r="C164">
        <f>VLOOKUP(vlookup!A164,Sheet1!$A$1:$I$252,9,FALSE)</f>
        <v>9981200162</v>
      </c>
      <c r="D164" t="str">
        <f>VLOOKUP(A164,Sheet1!$A$1:$I$252,8,FALSE)</f>
        <v>Nokia</v>
      </c>
    </row>
    <row r="165" spans="1:4" x14ac:dyDescent="0.3">
      <c r="A165" t="str">
        <f>VLOOKUP(Sheet1!A165,Sheet1!$A$1:$I$252,1,FALSE)</f>
        <v>A164</v>
      </c>
      <c r="B165" t="str">
        <f>IF(VLOOKUP(vlookup!A165,Sheet1!A164:F415,6,FALSE)="Paid","Eligible","Not Eligible")</f>
        <v>Not Eligible</v>
      </c>
      <c r="C165">
        <f>VLOOKUP(vlookup!A165,Sheet1!$A$1:$I$252,9,FALSE)</f>
        <v>9981200163</v>
      </c>
      <c r="D165" t="str">
        <f>VLOOKUP(A165,Sheet1!$A$1:$I$252,8,FALSE)</f>
        <v>Volcano</v>
      </c>
    </row>
    <row r="166" spans="1:4" x14ac:dyDescent="0.3">
      <c r="A166" t="str">
        <f>VLOOKUP(Sheet1!A166,Sheet1!$A$1:$I$252,1,FALSE)</f>
        <v>A165</v>
      </c>
      <c r="B166" t="str">
        <f>IF(VLOOKUP(vlookup!A166,Sheet1!A165:F416,6,FALSE)="Paid","Eligible","Not Eligible")</f>
        <v>Not Eligible</v>
      </c>
      <c r="C166">
        <f>VLOOKUP(vlookup!A166,Sheet1!$A$1:$I$252,9,FALSE)</f>
        <v>9981200164</v>
      </c>
      <c r="D166" t="str">
        <f>VLOOKUP(A166,Sheet1!$A$1:$I$252,8,FALSE)</f>
        <v>Volcano</v>
      </c>
    </row>
    <row r="167" spans="1:4" x14ac:dyDescent="0.3">
      <c r="A167" t="str">
        <f>VLOOKUP(Sheet1!A167,Sheet1!$A$1:$I$252,1,FALSE)</f>
        <v>A166</v>
      </c>
      <c r="B167" t="str">
        <f>IF(VLOOKUP(vlookup!A167,Sheet1!A166:F417,6,FALSE)="Paid","Eligible","Not Eligible")</f>
        <v>Eligible</v>
      </c>
      <c r="C167">
        <f>VLOOKUP(vlookup!A167,Sheet1!$A$1:$I$252,9,FALSE)</f>
        <v>9981200165</v>
      </c>
      <c r="D167" t="str">
        <f>VLOOKUP(A167,Sheet1!$A$1:$I$252,8,FALSE)</f>
        <v>Volcano</v>
      </c>
    </row>
    <row r="168" spans="1:4" x14ac:dyDescent="0.3">
      <c r="A168" t="str">
        <f>VLOOKUP(Sheet1!A168,Sheet1!$A$1:$I$252,1,FALSE)</f>
        <v>A167</v>
      </c>
      <c r="B168" t="str">
        <f>IF(VLOOKUP(vlookup!A168,Sheet1!A167:F418,6,FALSE)="Paid","Eligible","Not Eligible")</f>
        <v>Eligible</v>
      </c>
      <c r="C168">
        <f>VLOOKUP(vlookup!A168,Sheet1!$A$1:$I$252,9,FALSE)</f>
        <v>9981200166</v>
      </c>
      <c r="D168" t="str">
        <f>VLOOKUP(A168,Sheet1!$A$1:$I$252,8,FALSE)</f>
        <v>Nokia</v>
      </c>
    </row>
    <row r="169" spans="1:4" x14ac:dyDescent="0.3">
      <c r="A169" t="str">
        <f>VLOOKUP(Sheet1!A169,Sheet1!$A$1:$I$252,1,FALSE)</f>
        <v>A168</v>
      </c>
      <c r="B169" t="str">
        <f>IF(VLOOKUP(vlookup!A169,Sheet1!A168:F419,6,FALSE)="Paid","Eligible","Not Eligible")</f>
        <v>Not Eligible</v>
      </c>
      <c r="C169">
        <f>VLOOKUP(vlookup!A169,Sheet1!$A$1:$I$252,9,FALSE)</f>
        <v>9981200167</v>
      </c>
      <c r="D169" t="str">
        <f>VLOOKUP(A169,Sheet1!$A$1:$I$252,8,FALSE)</f>
        <v>Volcano</v>
      </c>
    </row>
    <row r="170" spans="1:4" x14ac:dyDescent="0.3">
      <c r="A170" t="str">
        <f>VLOOKUP(Sheet1!A170,Sheet1!$A$1:$I$252,1,FALSE)</f>
        <v>A169</v>
      </c>
      <c r="B170" t="str">
        <f>IF(VLOOKUP(vlookup!A170,Sheet1!A169:F420,6,FALSE)="Paid","Eligible","Not Eligible")</f>
        <v>Eligible</v>
      </c>
      <c r="C170">
        <f>VLOOKUP(vlookup!A170,Sheet1!$A$1:$I$252,9,FALSE)</f>
        <v>9981200168</v>
      </c>
      <c r="D170" t="str">
        <f>VLOOKUP(A170,Sheet1!$A$1:$I$252,8,FALSE)</f>
        <v>Volcano</v>
      </c>
    </row>
    <row r="171" spans="1:4" x14ac:dyDescent="0.3">
      <c r="A171" t="str">
        <f>VLOOKUP(Sheet1!A171,Sheet1!$A$1:$I$252,1,FALSE)</f>
        <v>A170</v>
      </c>
      <c r="B171" t="str">
        <f>IF(VLOOKUP(vlookup!A171,Sheet1!A170:F421,6,FALSE)="Paid","Eligible","Not Eligible")</f>
        <v>Eligible</v>
      </c>
      <c r="C171">
        <f>VLOOKUP(vlookup!A171,Sheet1!$A$1:$I$252,9,FALSE)</f>
        <v>9981200169</v>
      </c>
      <c r="D171" t="str">
        <f>VLOOKUP(A171,Sheet1!$A$1:$I$252,8,FALSE)</f>
        <v>Volcano</v>
      </c>
    </row>
    <row r="172" spans="1:4" x14ac:dyDescent="0.3">
      <c r="A172" t="str">
        <f>VLOOKUP(Sheet1!A172,Sheet1!$A$1:$I$252,1,FALSE)</f>
        <v>A171</v>
      </c>
      <c r="B172" t="str">
        <f>IF(VLOOKUP(vlookup!A172,Sheet1!A171:F422,6,FALSE)="Paid","Eligible","Not Eligible")</f>
        <v>Not Eligible</v>
      </c>
      <c r="C172">
        <f>VLOOKUP(vlookup!A172,Sheet1!$A$1:$I$252,9,FALSE)</f>
        <v>9981200170</v>
      </c>
      <c r="D172" t="str">
        <f>VLOOKUP(A172,Sheet1!$A$1:$I$252,8,FALSE)</f>
        <v>Nokia</v>
      </c>
    </row>
    <row r="173" spans="1:4" x14ac:dyDescent="0.3">
      <c r="A173" t="str">
        <f>VLOOKUP(Sheet1!A173,Sheet1!$A$1:$I$252,1,FALSE)</f>
        <v>A172</v>
      </c>
      <c r="B173" t="str">
        <f>IF(VLOOKUP(vlookup!A173,Sheet1!A172:F423,6,FALSE)="Paid","Eligible","Not Eligible")</f>
        <v>Eligible</v>
      </c>
      <c r="C173">
        <f>VLOOKUP(vlookup!A173,Sheet1!$A$1:$I$252,9,FALSE)</f>
        <v>9981200171</v>
      </c>
      <c r="D173" t="str">
        <f>VLOOKUP(A173,Sheet1!$A$1:$I$252,8,FALSE)</f>
        <v>Nokia</v>
      </c>
    </row>
    <row r="174" spans="1:4" x14ac:dyDescent="0.3">
      <c r="A174" t="str">
        <f>VLOOKUP(Sheet1!A174,Sheet1!$A$1:$I$252,1,FALSE)</f>
        <v>A173</v>
      </c>
      <c r="B174" t="str">
        <f>IF(VLOOKUP(vlookup!A174,Sheet1!A173:F424,6,FALSE)="Paid","Eligible","Not Eligible")</f>
        <v>Eligible</v>
      </c>
      <c r="C174">
        <f>VLOOKUP(vlookup!A174,Sheet1!$A$1:$I$252,9,FALSE)</f>
        <v>9981200172</v>
      </c>
      <c r="D174" t="str">
        <f>VLOOKUP(A174,Sheet1!$A$1:$I$252,8,FALSE)</f>
        <v>Nokia</v>
      </c>
    </row>
    <row r="175" spans="1:4" x14ac:dyDescent="0.3">
      <c r="A175" t="str">
        <f>VLOOKUP(Sheet1!A175,Sheet1!$A$1:$I$252,1,FALSE)</f>
        <v>A174</v>
      </c>
      <c r="B175" t="str">
        <f>IF(VLOOKUP(vlookup!A175,Sheet1!A174:F425,6,FALSE)="Paid","Eligible","Not Eligible")</f>
        <v>Eligible</v>
      </c>
      <c r="C175">
        <f>VLOOKUP(vlookup!A175,Sheet1!$A$1:$I$252,9,FALSE)</f>
        <v>9981200173</v>
      </c>
      <c r="D175" t="str">
        <f>VLOOKUP(A175,Sheet1!$A$1:$I$252,8,FALSE)</f>
        <v>Nokia</v>
      </c>
    </row>
    <row r="176" spans="1:4" x14ac:dyDescent="0.3">
      <c r="A176" t="str">
        <f>VLOOKUP(Sheet1!A176,Sheet1!$A$1:$I$252,1,FALSE)</f>
        <v>A175</v>
      </c>
      <c r="B176" t="str">
        <f>IF(VLOOKUP(vlookup!A176,Sheet1!A175:F426,6,FALSE)="Paid","Eligible","Not Eligible")</f>
        <v>Eligible</v>
      </c>
      <c r="C176">
        <f>VLOOKUP(vlookup!A176,Sheet1!$A$1:$I$252,9,FALSE)</f>
        <v>9981200174</v>
      </c>
      <c r="D176" t="str">
        <f>VLOOKUP(A176,Sheet1!$A$1:$I$252,8,FALSE)</f>
        <v>Nokia</v>
      </c>
    </row>
    <row r="177" spans="1:4" x14ac:dyDescent="0.3">
      <c r="A177" t="str">
        <f>VLOOKUP(Sheet1!A177,Sheet1!$A$1:$I$252,1,FALSE)</f>
        <v>A176</v>
      </c>
      <c r="B177" t="str">
        <f>IF(VLOOKUP(vlookup!A177,Sheet1!A176:F427,6,FALSE)="Paid","Eligible","Not Eligible")</f>
        <v>Eligible</v>
      </c>
      <c r="C177">
        <f>VLOOKUP(vlookup!A177,Sheet1!$A$1:$I$252,9,FALSE)</f>
        <v>9981200175</v>
      </c>
      <c r="D177" t="str">
        <f>VLOOKUP(A177,Sheet1!$A$1:$I$252,8,FALSE)</f>
        <v>Nokia</v>
      </c>
    </row>
    <row r="178" spans="1:4" x14ac:dyDescent="0.3">
      <c r="A178" t="str">
        <f>VLOOKUP(Sheet1!A178,Sheet1!$A$1:$I$252,1,FALSE)</f>
        <v>A177</v>
      </c>
      <c r="B178" t="str">
        <f>IF(VLOOKUP(vlookup!A178,Sheet1!A177:F428,6,FALSE)="Paid","Eligible","Not Eligible")</f>
        <v>Not Eligible</v>
      </c>
      <c r="C178">
        <f>VLOOKUP(vlookup!A178,Sheet1!$A$1:$I$252,9,FALSE)</f>
        <v>9981200176</v>
      </c>
      <c r="D178" t="str">
        <f>VLOOKUP(A178,Sheet1!$A$1:$I$252,8,FALSE)</f>
        <v>Nokia</v>
      </c>
    </row>
    <row r="179" spans="1:4" x14ac:dyDescent="0.3">
      <c r="A179" t="str">
        <f>VLOOKUP(Sheet1!A179,Sheet1!$A$1:$I$252,1,FALSE)</f>
        <v>A178</v>
      </c>
      <c r="B179" t="str">
        <f>IF(VLOOKUP(vlookup!A179,Sheet1!A178:F429,6,FALSE)="Paid","Eligible","Not Eligible")</f>
        <v>Not Eligible</v>
      </c>
      <c r="C179">
        <f>VLOOKUP(vlookup!A179,Sheet1!$A$1:$I$252,9,FALSE)</f>
        <v>9981200177</v>
      </c>
      <c r="D179" t="str">
        <f>VLOOKUP(A179,Sheet1!$A$1:$I$252,8,FALSE)</f>
        <v>Nokia</v>
      </c>
    </row>
    <row r="180" spans="1:4" x14ac:dyDescent="0.3">
      <c r="A180" t="str">
        <f>VLOOKUP(Sheet1!A180,Sheet1!$A$1:$I$252,1,FALSE)</f>
        <v>A179</v>
      </c>
      <c r="B180" t="str">
        <f>IF(VLOOKUP(vlookup!A180,Sheet1!A179:F430,6,FALSE)="Paid","Eligible","Not Eligible")</f>
        <v>Not Eligible</v>
      </c>
      <c r="C180">
        <f>VLOOKUP(vlookup!A180,Sheet1!$A$1:$I$252,9,FALSE)</f>
        <v>9981200178</v>
      </c>
      <c r="D180" t="str">
        <f>VLOOKUP(A180,Sheet1!$A$1:$I$252,8,FALSE)</f>
        <v>Nokia</v>
      </c>
    </row>
    <row r="181" spans="1:4" x14ac:dyDescent="0.3">
      <c r="A181" t="str">
        <f>VLOOKUP(Sheet1!A181,Sheet1!$A$1:$I$252,1,FALSE)</f>
        <v>A180</v>
      </c>
      <c r="B181" t="str">
        <f>IF(VLOOKUP(vlookup!A181,Sheet1!A180:F431,6,FALSE)="Paid","Eligible","Not Eligible")</f>
        <v>Not Eligible</v>
      </c>
      <c r="C181">
        <f>VLOOKUP(vlookup!A181,Sheet1!$A$1:$I$252,9,FALSE)</f>
        <v>9981200179</v>
      </c>
      <c r="D181" t="str">
        <f>VLOOKUP(A181,Sheet1!$A$1:$I$252,8,FALSE)</f>
        <v>Nokia</v>
      </c>
    </row>
    <row r="182" spans="1:4" x14ac:dyDescent="0.3">
      <c r="A182" t="str">
        <f>VLOOKUP(Sheet1!A182,Sheet1!$A$1:$I$252,1,FALSE)</f>
        <v>A181</v>
      </c>
      <c r="B182" t="str">
        <f>IF(VLOOKUP(vlookup!A182,Sheet1!A181:F432,6,FALSE)="Paid","Eligible","Not Eligible")</f>
        <v>Eligible</v>
      </c>
      <c r="C182">
        <f>VLOOKUP(vlookup!A182,Sheet1!$A$1:$I$252,9,FALSE)</f>
        <v>9981200180</v>
      </c>
      <c r="D182" t="str">
        <f>VLOOKUP(A182,Sheet1!$A$1:$I$252,8,FALSE)</f>
        <v>Nokia</v>
      </c>
    </row>
    <row r="183" spans="1:4" x14ac:dyDescent="0.3">
      <c r="A183" t="str">
        <f>VLOOKUP(Sheet1!A183,Sheet1!$A$1:$I$252,1,FALSE)</f>
        <v>A182</v>
      </c>
      <c r="B183" t="str">
        <f>IF(VLOOKUP(vlookup!A183,Sheet1!A182:F433,6,FALSE)="Paid","Eligible","Not Eligible")</f>
        <v>Eligible</v>
      </c>
      <c r="C183">
        <f>VLOOKUP(vlookup!A183,Sheet1!$A$1:$I$252,9,FALSE)</f>
        <v>9981200181</v>
      </c>
      <c r="D183" t="str">
        <f>VLOOKUP(A183,Sheet1!$A$1:$I$252,8,FALSE)</f>
        <v>Volcano</v>
      </c>
    </row>
    <row r="184" spans="1:4" x14ac:dyDescent="0.3">
      <c r="A184" t="str">
        <f>VLOOKUP(Sheet1!A184,Sheet1!$A$1:$I$252,1,FALSE)</f>
        <v>A183</v>
      </c>
      <c r="B184" t="str">
        <f>IF(VLOOKUP(vlookup!A184,Sheet1!A183:F434,6,FALSE)="Paid","Eligible","Not Eligible")</f>
        <v>Not Eligible</v>
      </c>
      <c r="C184">
        <f>VLOOKUP(vlookup!A184,Sheet1!$A$1:$I$252,9,FALSE)</f>
        <v>9981200182</v>
      </c>
      <c r="D184" t="str">
        <f>VLOOKUP(A184,Sheet1!$A$1:$I$252,8,FALSE)</f>
        <v>Nokia</v>
      </c>
    </row>
    <row r="185" spans="1:4" x14ac:dyDescent="0.3">
      <c r="A185" t="str">
        <f>VLOOKUP(Sheet1!A185,Sheet1!$A$1:$I$252,1,FALSE)</f>
        <v>A184</v>
      </c>
      <c r="B185" t="str">
        <f>IF(VLOOKUP(vlookup!A185,Sheet1!A184:F435,6,FALSE)="Paid","Eligible","Not Eligible")</f>
        <v>Not Eligible</v>
      </c>
      <c r="C185">
        <f>VLOOKUP(vlookup!A185,Sheet1!$A$1:$I$252,9,FALSE)</f>
        <v>9981200183</v>
      </c>
      <c r="D185" t="str">
        <f>VLOOKUP(A185,Sheet1!$A$1:$I$252,8,FALSE)</f>
        <v>Volcano</v>
      </c>
    </row>
    <row r="186" spans="1:4" x14ac:dyDescent="0.3">
      <c r="A186" t="str">
        <f>VLOOKUP(Sheet1!A186,Sheet1!$A$1:$I$252,1,FALSE)</f>
        <v>A185</v>
      </c>
      <c r="B186" t="str">
        <f>IF(VLOOKUP(vlookup!A186,Sheet1!A185:F436,6,FALSE)="Paid","Eligible","Not Eligible")</f>
        <v>Not Eligible</v>
      </c>
      <c r="C186">
        <f>VLOOKUP(vlookup!A186,Sheet1!$A$1:$I$252,9,FALSE)</f>
        <v>9981200184</v>
      </c>
      <c r="D186" t="str">
        <f>VLOOKUP(A186,Sheet1!$A$1:$I$252,8,FALSE)</f>
        <v>Volcano</v>
      </c>
    </row>
    <row r="187" spans="1:4" x14ac:dyDescent="0.3">
      <c r="A187" t="str">
        <f>VLOOKUP(Sheet1!A187,Sheet1!$A$1:$I$252,1,FALSE)</f>
        <v>A186</v>
      </c>
      <c r="B187" t="str">
        <f>IF(VLOOKUP(vlookup!A187,Sheet1!A186:F437,6,FALSE)="Paid","Eligible","Not Eligible")</f>
        <v>Eligible</v>
      </c>
      <c r="C187">
        <f>VLOOKUP(vlookup!A187,Sheet1!$A$1:$I$252,9,FALSE)</f>
        <v>9981200185</v>
      </c>
      <c r="D187" t="str">
        <f>VLOOKUP(A187,Sheet1!$A$1:$I$252,8,FALSE)</f>
        <v>Volcano</v>
      </c>
    </row>
    <row r="188" spans="1:4" x14ac:dyDescent="0.3">
      <c r="A188" t="str">
        <f>VLOOKUP(Sheet1!A188,Sheet1!$A$1:$I$252,1,FALSE)</f>
        <v>A187</v>
      </c>
      <c r="B188" t="str">
        <f>IF(VLOOKUP(vlookup!A188,Sheet1!A187:F438,6,FALSE)="Paid","Eligible","Not Eligible")</f>
        <v>Eligible</v>
      </c>
      <c r="C188">
        <f>VLOOKUP(vlookup!A188,Sheet1!$A$1:$I$252,9,FALSE)</f>
        <v>9981200186</v>
      </c>
      <c r="D188" t="str">
        <f>VLOOKUP(A188,Sheet1!$A$1:$I$252,8,FALSE)</f>
        <v>Nokia</v>
      </c>
    </row>
    <row r="189" spans="1:4" x14ac:dyDescent="0.3">
      <c r="A189" t="str">
        <f>VLOOKUP(Sheet1!A189,Sheet1!$A$1:$I$252,1,FALSE)</f>
        <v>A188</v>
      </c>
      <c r="B189" t="str">
        <f>IF(VLOOKUP(vlookup!A189,Sheet1!A188:F439,6,FALSE)="Paid","Eligible","Not Eligible")</f>
        <v>Not Eligible</v>
      </c>
      <c r="C189">
        <f>VLOOKUP(vlookup!A189,Sheet1!$A$1:$I$252,9,FALSE)</f>
        <v>9981200187</v>
      </c>
      <c r="D189" t="str">
        <f>VLOOKUP(A189,Sheet1!$A$1:$I$252,8,FALSE)</f>
        <v>Volcano</v>
      </c>
    </row>
    <row r="190" spans="1:4" x14ac:dyDescent="0.3">
      <c r="A190" t="str">
        <f>VLOOKUP(Sheet1!A190,Sheet1!$A$1:$I$252,1,FALSE)</f>
        <v>A189</v>
      </c>
      <c r="B190" t="str">
        <f>IF(VLOOKUP(vlookup!A190,Sheet1!A189:F440,6,FALSE)="Paid","Eligible","Not Eligible")</f>
        <v>Not Eligible</v>
      </c>
      <c r="C190">
        <f>VLOOKUP(vlookup!A190,Sheet1!$A$1:$I$252,9,FALSE)</f>
        <v>9981200188</v>
      </c>
      <c r="D190" t="str">
        <f>VLOOKUP(A190,Sheet1!$A$1:$I$252,8,FALSE)</f>
        <v>Volcano</v>
      </c>
    </row>
    <row r="191" spans="1:4" x14ac:dyDescent="0.3">
      <c r="A191" t="str">
        <f>VLOOKUP(Sheet1!A191,Sheet1!$A$1:$I$252,1,FALSE)</f>
        <v>A190</v>
      </c>
      <c r="B191" t="str">
        <f>IF(VLOOKUP(vlookup!A191,Sheet1!A190:F441,6,FALSE)="Paid","Eligible","Not Eligible")</f>
        <v>Eligible</v>
      </c>
      <c r="C191">
        <f>VLOOKUP(vlookup!A191,Sheet1!$A$1:$I$252,9,FALSE)</f>
        <v>9981200189</v>
      </c>
      <c r="D191" t="str">
        <f>VLOOKUP(A191,Sheet1!$A$1:$I$252,8,FALSE)</f>
        <v>Nokia</v>
      </c>
    </row>
    <row r="192" spans="1:4" x14ac:dyDescent="0.3">
      <c r="A192" t="str">
        <f>VLOOKUP(Sheet1!A192,Sheet1!$A$1:$I$252,1,FALSE)</f>
        <v>A191</v>
      </c>
      <c r="B192" t="str">
        <f>IF(VLOOKUP(vlookup!A192,Sheet1!A191:F442,6,FALSE)="Paid","Eligible","Not Eligible")</f>
        <v>Eligible</v>
      </c>
      <c r="C192">
        <f>VLOOKUP(vlookup!A192,Sheet1!$A$1:$I$252,9,FALSE)</f>
        <v>9981200190</v>
      </c>
      <c r="D192" t="str">
        <f>VLOOKUP(A192,Sheet1!$A$1:$I$252,8,FALSE)</f>
        <v>Volcano</v>
      </c>
    </row>
    <row r="193" spans="1:4" x14ac:dyDescent="0.3">
      <c r="A193" t="str">
        <f>VLOOKUP(Sheet1!A193,Sheet1!$A$1:$I$252,1,FALSE)</f>
        <v>A192</v>
      </c>
      <c r="B193" t="str">
        <f>IF(VLOOKUP(vlookup!A193,Sheet1!A192:F443,6,FALSE)="Paid","Eligible","Not Eligible")</f>
        <v>Not Eligible</v>
      </c>
      <c r="C193">
        <f>VLOOKUP(vlookup!A193,Sheet1!$A$1:$I$252,9,FALSE)</f>
        <v>9981200191</v>
      </c>
      <c r="D193" t="str">
        <f>VLOOKUP(A193,Sheet1!$A$1:$I$252,8,FALSE)</f>
        <v>Volcano</v>
      </c>
    </row>
    <row r="194" spans="1:4" x14ac:dyDescent="0.3">
      <c r="A194" t="str">
        <f>VLOOKUP(Sheet1!A194,Sheet1!$A$1:$I$252,1,FALSE)</f>
        <v>A193</v>
      </c>
      <c r="B194" t="str">
        <f>IF(VLOOKUP(vlookup!A194,Sheet1!A193:F444,6,FALSE)="Paid","Eligible","Not Eligible")</f>
        <v>Eligible</v>
      </c>
      <c r="C194">
        <f>VLOOKUP(vlookup!A194,Sheet1!$A$1:$I$252,9,FALSE)</f>
        <v>9981200192</v>
      </c>
      <c r="D194" t="str">
        <f>VLOOKUP(A194,Sheet1!$A$1:$I$252,8,FALSE)</f>
        <v>Volcano</v>
      </c>
    </row>
    <row r="195" spans="1:4" x14ac:dyDescent="0.3">
      <c r="A195" t="str">
        <f>VLOOKUP(Sheet1!A195,Sheet1!$A$1:$I$252,1,FALSE)</f>
        <v>A194</v>
      </c>
      <c r="B195" t="str">
        <f>IF(VLOOKUP(vlookup!A195,Sheet1!A194:F445,6,FALSE)="Paid","Eligible","Not Eligible")</f>
        <v>Eligible</v>
      </c>
      <c r="C195">
        <f>VLOOKUP(vlookup!A195,Sheet1!$A$1:$I$252,9,FALSE)</f>
        <v>9981200193</v>
      </c>
      <c r="D195" t="str">
        <f>VLOOKUP(A195,Sheet1!$A$1:$I$252,8,FALSE)</f>
        <v>Nokia</v>
      </c>
    </row>
    <row r="196" spans="1:4" x14ac:dyDescent="0.3">
      <c r="A196" t="str">
        <f>VLOOKUP(Sheet1!A196,Sheet1!$A$1:$I$252,1,FALSE)</f>
        <v>A195</v>
      </c>
      <c r="B196" t="str">
        <f>IF(VLOOKUP(vlookup!A196,Sheet1!A195:F446,6,FALSE)="Paid","Eligible","Not Eligible")</f>
        <v>Not Eligible</v>
      </c>
      <c r="C196">
        <f>VLOOKUP(vlookup!A196,Sheet1!$A$1:$I$252,9,FALSE)</f>
        <v>9981200194</v>
      </c>
      <c r="D196" t="str">
        <f>VLOOKUP(A196,Sheet1!$A$1:$I$252,8,FALSE)</f>
        <v>Nokia</v>
      </c>
    </row>
    <row r="197" spans="1:4" x14ac:dyDescent="0.3">
      <c r="A197" t="str">
        <f>VLOOKUP(Sheet1!A197,Sheet1!$A$1:$I$252,1,FALSE)</f>
        <v>A196</v>
      </c>
      <c r="B197" t="str">
        <f>IF(VLOOKUP(vlookup!A197,Sheet1!A196:F447,6,FALSE)="Paid","Eligible","Not Eligible")</f>
        <v>Eligible</v>
      </c>
      <c r="C197">
        <f>VLOOKUP(vlookup!A197,Sheet1!$A$1:$I$252,9,FALSE)</f>
        <v>9981200195</v>
      </c>
      <c r="D197" t="str">
        <f>VLOOKUP(A197,Sheet1!$A$1:$I$252,8,FALSE)</f>
        <v>Nokia</v>
      </c>
    </row>
    <row r="198" spans="1:4" x14ac:dyDescent="0.3">
      <c r="A198" t="str">
        <f>VLOOKUP(Sheet1!A198,Sheet1!$A$1:$I$252,1,FALSE)</f>
        <v>A197</v>
      </c>
      <c r="B198" t="str">
        <f>IF(VLOOKUP(vlookup!A198,Sheet1!A197:F448,6,FALSE)="Paid","Eligible","Not Eligible")</f>
        <v>Eligible</v>
      </c>
      <c r="C198">
        <f>VLOOKUP(vlookup!A198,Sheet1!$A$1:$I$252,9,FALSE)</f>
        <v>9981200196</v>
      </c>
      <c r="D198" t="str">
        <f>VLOOKUP(A198,Sheet1!$A$1:$I$252,8,FALSE)</f>
        <v>Nokia</v>
      </c>
    </row>
    <row r="199" spans="1:4" x14ac:dyDescent="0.3">
      <c r="A199" t="str">
        <f>VLOOKUP(Sheet1!A199,Sheet1!$A$1:$I$252,1,FALSE)</f>
        <v>A198</v>
      </c>
      <c r="B199" t="str">
        <f>IF(VLOOKUP(vlookup!A199,Sheet1!A198:F449,6,FALSE)="Paid","Eligible","Not Eligible")</f>
        <v>Eligible</v>
      </c>
      <c r="C199">
        <f>VLOOKUP(vlookup!A199,Sheet1!$A$1:$I$252,9,FALSE)</f>
        <v>9981200197</v>
      </c>
      <c r="D199" t="str">
        <f>VLOOKUP(A199,Sheet1!$A$1:$I$252,8,FALSE)</f>
        <v>Nokia</v>
      </c>
    </row>
    <row r="200" spans="1:4" x14ac:dyDescent="0.3">
      <c r="A200" t="str">
        <f>VLOOKUP(Sheet1!A200,Sheet1!$A$1:$I$252,1,FALSE)</f>
        <v>A199</v>
      </c>
      <c r="B200" t="str">
        <f>IF(VLOOKUP(vlookup!A200,Sheet1!A199:F450,6,FALSE)="Paid","Eligible","Not Eligible")</f>
        <v>Eligible</v>
      </c>
      <c r="C200">
        <f>VLOOKUP(vlookup!A200,Sheet1!$A$1:$I$252,9,FALSE)</f>
        <v>9981200198</v>
      </c>
      <c r="D200" t="str">
        <f>VLOOKUP(A200,Sheet1!$A$1:$I$252,8,FALSE)</f>
        <v>Nokia</v>
      </c>
    </row>
    <row r="201" spans="1:4" x14ac:dyDescent="0.3">
      <c r="A201" t="str">
        <f>VLOOKUP(Sheet1!A201,Sheet1!$A$1:$I$252,1,FALSE)</f>
        <v>A200</v>
      </c>
      <c r="B201" t="str">
        <f>IF(VLOOKUP(vlookup!A201,Sheet1!A200:F451,6,FALSE)="Paid","Eligible","Not Eligible")</f>
        <v>Eligible</v>
      </c>
      <c r="C201">
        <f>VLOOKUP(vlookup!A201,Sheet1!$A$1:$I$252,9,FALSE)</f>
        <v>9981200199</v>
      </c>
      <c r="D201" t="str">
        <f>VLOOKUP(A201,Sheet1!$A$1:$I$252,8,FALSE)</f>
        <v>Nokia</v>
      </c>
    </row>
    <row r="202" spans="1:4" x14ac:dyDescent="0.3">
      <c r="A202" t="str">
        <f>VLOOKUP(Sheet1!A202,Sheet1!$A$1:$I$252,1,FALSE)</f>
        <v>A201</v>
      </c>
      <c r="B202" t="str">
        <f>IF(VLOOKUP(vlookup!A202,Sheet1!A201:F452,6,FALSE)="Paid","Eligible","Not Eligible")</f>
        <v>Not Eligible</v>
      </c>
      <c r="C202">
        <f>VLOOKUP(vlookup!A202,Sheet1!$A$1:$I$252,9,FALSE)</f>
        <v>9981200200</v>
      </c>
      <c r="D202" t="str">
        <f>VLOOKUP(A202,Sheet1!$A$1:$I$252,8,FALSE)</f>
        <v>Nokia</v>
      </c>
    </row>
    <row r="203" spans="1:4" x14ac:dyDescent="0.3">
      <c r="A203" t="str">
        <f>VLOOKUP(Sheet1!A203,Sheet1!$A$1:$I$252,1,FALSE)</f>
        <v>A202</v>
      </c>
      <c r="B203" t="str">
        <f>IF(VLOOKUP(vlookup!A203,Sheet1!A202:F453,6,FALSE)="Paid","Eligible","Not Eligible")</f>
        <v>Not Eligible</v>
      </c>
      <c r="C203">
        <f>VLOOKUP(vlookup!A203,Sheet1!$A$1:$I$252,9,FALSE)</f>
        <v>9981200201</v>
      </c>
      <c r="D203" t="str">
        <f>VLOOKUP(A203,Sheet1!$A$1:$I$252,8,FALSE)</f>
        <v>Nokia</v>
      </c>
    </row>
    <row r="204" spans="1:4" x14ac:dyDescent="0.3">
      <c r="A204" t="str">
        <f>VLOOKUP(Sheet1!A204,Sheet1!$A$1:$I$252,1,FALSE)</f>
        <v>A203</v>
      </c>
      <c r="B204" t="str">
        <f>IF(VLOOKUP(vlookup!A204,Sheet1!A203:F454,6,FALSE)="Paid","Eligible","Not Eligible")</f>
        <v>Not Eligible</v>
      </c>
      <c r="C204">
        <f>VLOOKUP(vlookup!A204,Sheet1!$A$1:$I$252,9,FALSE)</f>
        <v>9981200202</v>
      </c>
      <c r="D204" t="str">
        <f>VLOOKUP(A204,Sheet1!$A$1:$I$252,8,FALSE)</f>
        <v>Nokia</v>
      </c>
    </row>
    <row r="205" spans="1:4" x14ac:dyDescent="0.3">
      <c r="A205" t="str">
        <f>VLOOKUP(Sheet1!A205,Sheet1!$A$1:$I$252,1,FALSE)</f>
        <v>A204</v>
      </c>
      <c r="B205" t="str">
        <f>IF(VLOOKUP(vlookup!A205,Sheet1!A204:F455,6,FALSE)="Paid","Eligible","Not Eligible")</f>
        <v>Not Eligible</v>
      </c>
      <c r="C205">
        <f>VLOOKUP(vlookup!A205,Sheet1!$A$1:$I$252,9,FALSE)</f>
        <v>9981200203</v>
      </c>
      <c r="D205" t="str">
        <f>VLOOKUP(A205,Sheet1!$A$1:$I$252,8,FALSE)</f>
        <v>Nokia</v>
      </c>
    </row>
    <row r="206" spans="1:4" x14ac:dyDescent="0.3">
      <c r="A206" t="str">
        <f>VLOOKUP(Sheet1!A206,Sheet1!$A$1:$I$252,1,FALSE)</f>
        <v>A205</v>
      </c>
      <c r="B206" t="str">
        <f>IF(VLOOKUP(vlookup!A206,Sheet1!A205:F456,6,FALSE)="Paid","Eligible","Not Eligible")</f>
        <v>Eligible</v>
      </c>
      <c r="C206">
        <f>VLOOKUP(vlookup!A206,Sheet1!$A$1:$I$252,9,FALSE)</f>
        <v>9981200204</v>
      </c>
      <c r="D206" t="str">
        <f>VLOOKUP(A206,Sheet1!$A$1:$I$252,8,FALSE)</f>
        <v>Volcano</v>
      </c>
    </row>
    <row r="207" spans="1:4" x14ac:dyDescent="0.3">
      <c r="A207" t="str">
        <f>VLOOKUP(Sheet1!A207,Sheet1!$A$1:$I$252,1,FALSE)</f>
        <v>A206</v>
      </c>
      <c r="B207" t="str">
        <f>IF(VLOOKUP(vlookup!A207,Sheet1!A206:F457,6,FALSE)="Paid","Eligible","Not Eligible")</f>
        <v>Eligible</v>
      </c>
      <c r="C207">
        <f>VLOOKUP(vlookup!A207,Sheet1!$A$1:$I$252,9,FALSE)</f>
        <v>9981200205</v>
      </c>
      <c r="D207" t="str">
        <f>VLOOKUP(A207,Sheet1!$A$1:$I$252,8,FALSE)</f>
        <v>Nokia</v>
      </c>
    </row>
    <row r="208" spans="1:4" x14ac:dyDescent="0.3">
      <c r="A208" t="str">
        <f>VLOOKUP(Sheet1!A208,Sheet1!$A$1:$I$252,1,FALSE)</f>
        <v>A207</v>
      </c>
      <c r="B208" t="str">
        <f>IF(VLOOKUP(vlookup!A208,Sheet1!A207:F458,6,FALSE)="Paid","Eligible","Not Eligible")</f>
        <v>Not Eligible</v>
      </c>
      <c r="C208">
        <f>VLOOKUP(vlookup!A208,Sheet1!$A$1:$I$252,9,FALSE)</f>
        <v>9981200206</v>
      </c>
      <c r="D208" t="str">
        <f>VLOOKUP(A208,Sheet1!$A$1:$I$252,8,FALSE)</f>
        <v>Volcano</v>
      </c>
    </row>
    <row r="209" spans="1:4" x14ac:dyDescent="0.3">
      <c r="A209" t="str">
        <f>VLOOKUP(Sheet1!A209,Sheet1!$A$1:$I$252,1,FALSE)</f>
        <v>A208</v>
      </c>
      <c r="B209" t="str">
        <f>IF(VLOOKUP(vlookup!A209,Sheet1!A208:F459,6,FALSE)="Paid","Eligible","Not Eligible")</f>
        <v>Not Eligible</v>
      </c>
      <c r="C209">
        <f>VLOOKUP(vlookup!A209,Sheet1!$A$1:$I$252,9,FALSE)</f>
        <v>9981200207</v>
      </c>
      <c r="D209" t="str">
        <f>VLOOKUP(A209,Sheet1!$A$1:$I$252,8,FALSE)</f>
        <v>Volcano</v>
      </c>
    </row>
    <row r="210" spans="1:4" x14ac:dyDescent="0.3">
      <c r="A210" t="str">
        <f>VLOOKUP(Sheet1!A210,Sheet1!$A$1:$I$252,1,FALSE)</f>
        <v>A209</v>
      </c>
      <c r="B210" t="str">
        <f>IF(VLOOKUP(vlookup!A210,Sheet1!A209:F460,6,FALSE)="Paid","Eligible","Not Eligible")</f>
        <v>Not Eligible</v>
      </c>
      <c r="C210">
        <f>VLOOKUP(vlookup!A210,Sheet1!$A$1:$I$252,9,FALSE)</f>
        <v>9981200208</v>
      </c>
      <c r="D210" t="str">
        <f>VLOOKUP(A210,Sheet1!$A$1:$I$252,8,FALSE)</f>
        <v>Volcano</v>
      </c>
    </row>
    <row r="211" spans="1:4" x14ac:dyDescent="0.3">
      <c r="A211" t="str">
        <f>VLOOKUP(Sheet1!A211,Sheet1!$A$1:$I$252,1,FALSE)</f>
        <v>A210</v>
      </c>
      <c r="B211" t="str">
        <f>IF(VLOOKUP(vlookup!A211,Sheet1!A210:F461,6,FALSE)="Paid","Eligible","Not Eligible")</f>
        <v>Eligible</v>
      </c>
      <c r="C211">
        <f>VLOOKUP(vlookup!A211,Sheet1!$A$1:$I$252,9,FALSE)</f>
        <v>9981200209</v>
      </c>
      <c r="D211" t="str">
        <f>VLOOKUP(A211,Sheet1!$A$1:$I$252,8,FALSE)</f>
        <v>Nokia</v>
      </c>
    </row>
    <row r="212" spans="1:4" x14ac:dyDescent="0.3">
      <c r="A212" t="str">
        <f>VLOOKUP(Sheet1!A212,Sheet1!$A$1:$I$252,1,FALSE)</f>
        <v>A211</v>
      </c>
      <c r="B212" t="str">
        <f>IF(VLOOKUP(vlookup!A212,Sheet1!A211:F462,6,FALSE)="Paid","Eligible","Not Eligible")</f>
        <v>Eligible</v>
      </c>
      <c r="C212">
        <f>VLOOKUP(vlookup!A212,Sheet1!$A$1:$I$252,9,FALSE)</f>
        <v>9981200210</v>
      </c>
      <c r="D212" t="str">
        <f>VLOOKUP(A212,Sheet1!$A$1:$I$252,8,FALSE)</f>
        <v>Nokia</v>
      </c>
    </row>
    <row r="213" spans="1:4" x14ac:dyDescent="0.3">
      <c r="A213" t="str">
        <f>VLOOKUP(Sheet1!A213,Sheet1!$A$1:$I$252,1,FALSE)</f>
        <v>A212</v>
      </c>
      <c r="B213" t="str">
        <f>IF(VLOOKUP(vlookup!A213,Sheet1!A212:F463,6,FALSE)="Paid","Eligible","Not Eligible")</f>
        <v>Not Eligible</v>
      </c>
      <c r="C213">
        <f>VLOOKUP(vlookup!A213,Sheet1!$A$1:$I$252,9,FALSE)</f>
        <v>9981200211</v>
      </c>
      <c r="D213" t="str">
        <f>VLOOKUP(A213,Sheet1!$A$1:$I$252,8,FALSE)</f>
        <v>Volcano</v>
      </c>
    </row>
    <row r="214" spans="1:4" x14ac:dyDescent="0.3">
      <c r="A214" t="str">
        <f>VLOOKUP(Sheet1!A214,Sheet1!$A$1:$I$252,1,FALSE)</f>
        <v>A213</v>
      </c>
      <c r="B214" t="str">
        <f>IF(VLOOKUP(vlookup!A214,Sheet1!A213:F464,6,FALSE)="Paid","Eligible","Not Eligible")</f>
        <v>Not Eligible</v>
      </c>
      <c r="C214">
        <f>VLOOKUP(vlookup!A214,Sheet1!$A$1:$I$252,9,FALSE)</f>
        <v>9981200212</v>
      </c>
      <c r="D214" t="str">
        <f>VLOOKUP(A214,Sheet1!$A$1:$I$252,8,FALSE)</f>
        <v>Volcano</v>
      </c>
    </row>
    <row r="215" spans="1:4" x14ac:dyDescent="0.3">
      <c r="A215" t="str">
        <f>VLOOKUP(Sheet1!A215,Sheet1!$A$1:$I$252,1,FALSE)</f>
        <v>A214</v>
      </c>
      <c r="B215" t="str">
        <f>IF(VLOOKUP(vlookup!A215,Sheet1!A214:F465,6,FALSE)="Paid","Eligible","Not Eligible")</f>
        <v>Eligible</v>
      </c>
      <c r="C215">
        <f>VLOOKUP(vlookup!A215,Sheet1!$A$1:$I$252,9,FALSE)</f>
        <v>9981200213</v>
      </c>
      <c r="D215" t="str">
        <f>VLOOKUP(A215,Sheet1!$A$1:$I$252,8,FALSE)</f>
        <v>Nokia</v>
      </c>
    </row>
    <row r="216" spans="1:4" x14ac:dyDescent="0.3">
      <c r="A216" t="str">
        <f>VLOOKUP(Sheet1!A216,Sheet1!$A$1:$I$252,1,FALSE)</f>
        <v>A215</v>
      </c>
      <c r="B216" t="str">
        <f>IF(VLOOKUP(vlookup!A216,Sheet1!A215:F466,6,FALSE)="Paid","Eligible","Not Eligible")</f>
        <v>Eligible</v>
      </c>
      <c r="C216">
        <f>VLOOKUP(vlookup!A216,Sheet1!$A$1:$I$252,9,FALSE)</f>
        <v>9981200214</v>
      </c>
      <c r="D216" t="str">
        <f>VLOOKUP(A216,Sheet1!$A$1:$I$252,8,FALSE)</f>
        <v>Volcano</v>
      </c>
    </row>
    <row r="217" spans="1:4" x14ac:dyDescent="0.3">
      <c r="A217" t="str">
        <f>VLOOKUP(Sheet1!A217,Sheet1!$A$1:$I$252,1,FALSE)</f>
        <v>A216</v>
      </c>
      <c r="B217" t="str">
        <f>IF(VLOOKUP(vlookup!A217,Sheet1!A216:F467,6,FALSE)="Paid","Eligible","Not Eligible")</f>
        <v>Not Eligible</v>
      </c>
      <c r="C217">
        <f>VLOOKUP(vlookup!A217,Sheet1!$A$1:$I$252,9,FALSE)</f>
        <v>9981200215</v>
      </c>
      <c r="D217" t="str">
        <f>VLOOKUP(A217,Sheet1!$A$1:$I$252,8,FALSE)</f>
        <v>Volcano</v>
      </c>
    </row>
    <row r="218" spans="1:4" x14ac:dyDescent="0.3">
      <c r="A218" t="str">
        <f>VLOOKUP(Sheet1!A218,Sheet1!$A$1:$I$252,1,FALSE)</f>
        <v>A217</v>
      </c>
      <c r="B218" t="str">
        <f>IF(VLOOKUP(vlookup!A218,Sheet1!A217:F468,6,FALSE)="Paid","Eligible","Not Eligible")</f>
        <v>Eligible</v>
      </c>
      <c r="C218">
        <f>VLOOKUP(vlookup!A218,Sheet1!$A$1:$I$252,9,FALSE)</f>
        <v>9981200216</v>
      </c>
      <c r="D218" t="str">
        <f>VLOOKUP(A218,Sheet1!$A$1:$I$252,8,FALSE)</f>
        <v>Volcano</v>
      </c>
    </row>
    <row r="219" spans="1:4" x14ac:dyDescent="0.3">
      <c r="A219" t="str">
        <f>VLOOKUP(Sheet1!A219,Sheet1!$A$1:$I$252,1,FALSE)</f>
        <v>A218</v>
      </c>
      <c r="B219" t="str">
        <f>IF(VLOOKUP(vlookup!A219,Sheet1!A218:F469,6,FALSE)="Paid","Eligible","Not Eligible")</f>
        <v>Eligible</v>
      </c>
      <c r="C219">
        <f>VLOOKUP(vlookup!A219,Sheet1!$A$1:$I$252,9,FALSE)</f>
        <v>9981200217</v>
      </c>
      <c r="D219" t="str">
        <f>VLOOKUP(A219,Sheet1!$A$1:$I$252,8,FALSE)</f>
        <v>Nokia</v>
      </c>
    </row>
    <row r="220" spans="1:4" x14ac:dyDescent="0.3">
      <c r="A220" t="str">
        <f>VLOOKUP(Sheet1!A220,Sheet1!$A$1:$I$252,1,FALSE)</f>
        <v>A219</v>
      </c>
      <c r="B220" t="str">
        <f>IF(VLOOKUP(vlookup!A220,Sheet1!A219:F470,6,FALSE)="Paid","Eligible","Not Eligible")</f>
        <v>Not Eligible</v>
      </c>
      <c r="C220">
        <f>VLOOKUP(vlookup!A220,Sheet1!$A$1:$I$252,9,FALSE)</f>
        <v>9981200218</v>
      </c>
      <c r="D220" t="str">
        <f>VLOOKUP(A220,Sheet1!$A$1:$I$252,8,FALSE)</f>
        <v>Volcano</v>
      </c>
    </row>
    <row r="221" spans="1:4" x14ac:dyDescent="0.3">
      <c r="A221" t="str">
        <f>VLOOKUP(Sheet1!A221,Sheet1!$A$1:$I$252,1,FALSE)</f>
        <v>A220</v>
      </c>
      <c r="B221" t="str">
        <f>IF(VLOOKUP(vlookup!A221,Sheet1!A220:F471,6,FALSE)="Paid","Eligible","Not Eligible")</f>
        <v>Eligible</v>
      </c>
      <c r="C221">
        <f>VLOOKUP(vlookup!A221,Sheet1!$A$1:$I$252,9,FALSE)</f>
        <v>9981200219</v>
      </c>
      <c r="D221" t="str">
        <f>VLOOKUP(A221,Sheet1!$A$1:$I$252,8,FALSE)</f>
        <v>Volcano</v>
      </c>
    </row>
    <row r="222" spans="1:4" x14ac:dyDescent="0.3">
      <c r="A222" t="str">
        <f>VLOOKUP(Sheet1!A222,Sheet1!$A$1:$I$252,1,FALSE)</f>
        <v>A221</v>
      </c>
      <c r="B222" t="str">
        <f>IF(VLOOKUP(vlookup!A222,Sheet1!A221:F472,6,FALSE)="Paid","Eligible","Not Eligible")</f>
        <v>Eligible</v>
      </c>
      <c r="C222">
        <f>VLOOKUP(vlookup!A222,Sheet1!$A$1:$I$252,9,FALSE)</f>
        <v>9981200220</v>
      </c>
      <c r="D222" t="str">
        <f>VLOOKUP(A222,Sheet1!$A$1:$I$252,8,FALSE)</f>
        <v>Volcano</v>
      </c>
    </row>
    <row r="223" spans="1:4" x14ac:dyDescent="0.3">
      <c r="A223" t="str">
        <f>VLOOKUP(Sheet1!A223,Sheet1!$A$1:$I$252,1,FALSE)</f>
        <v>A222</v>
      </c>
      <c r="B223" t="str">
        <f>IF(VLOOKUP(vlookup!A223,Sheet1!A222:F473,6,FALSE)="Paid","Eligible","Not Eligible")</f>
        <v>Eligible</v>
      </c>
      <c r="C223">
        <f>VLOOKUP(vlookup!A223,Sheet1!$A$1:$I$252,9,FALSE)</f>
        <v>9981200221</v>
      </c>
      <c r="D223" t="str">
        <f>VLOOKUP(A223,Sheet1!$A$1:$I$252,8,FALSE)</f>
        <v>Nokia</v>
      </c>
    </row>
    <row r="224" spans="1:4" x14ac:dyDescent="0.3">
      <c r="A224" t="str">
        <f>VLOOKUP(Sheet1!A224,Sheet1!$A$1:$I$252,1,FALSE)</f>
        <v>A223</v>
      </c>
      <c r="B224" t="str">
        <f>IF(VLOOKUP(vlookup!A224,Sheet1!A223:F474,6,FALSE)="Paid","Eligible","Not Eligible")</f>
        <v>Eligible</v>
      </c>
      <c r="C224">
        <f>VLOOKUP(vlookup!A224,Sheet1!$A$1:$I$252,9,FALSE)</f>
        <v>9981200222</v>
      </c>
      <c r="D224" t="str">
        <f>VLOOKUP(A224,Sheet1!$A$1:$I$252,8,FALSE)</f>
        <v>Nokia</v>
      </c>
    </row>
    <row r="225" spans="1:4" x14ac:dyDescent="0.3">
      <c r="A225" t="str">
        <f>VLOOKUP(Sheet1!A225,Sheet1!$A$1:$I$252,1,FALSE)</f>
        <v>A224</v>
      </c>
      <c r="B225" t="str">
        <f>IF(VLOOKUP(vlookup!A225,Sheet1!A224:F475,6,FALSE)="Paid","Eligible","Not Eligible")</f>
        <v>Eligible</v>
      </c>
      <c r="C225">
        <f>VLOOKUP(vlookup!A225,Sheet1!$A$1:$I$252,9,FALSE)</f>
        <v>9981200223</v>
      </c>
      <c r="D225" t="str">
        <f>VLOOKUP(A225,Sheet1!$A$1:$I$252,8,FALSE)</f>
        <v>Nokia</v>
      </c>
    </row>
    <row r="226" spans="1:4" x14ac:dyDescent="0.3">
      <c r="A226" t="str">
        <f>VLOOKUP(Sheet1!A226,Sheet1!$A$1:$I$252,1,FALSE)</f>
        <v>A225</v>
      </c>
      <c r="B226" t="str">
        <f>IF(VLOOKUP(vlookup!A226,Sheet1!A225:F476,6,FALSE)="Paid","Eligible","Not Eligible")</f>
        <v>Not Eligible</v>
      </c>
      <c r="C226">
        <f>VLOOKUP(vlookup!A226,Sheet1!$A$1:$I$252,9,FALSE)</f>
        <v>9981200224</v>
      </c>
      <c r="D226" t="str">
        <f>VLOOKUP(A226,Sheet1!$A$1:$I$252,8,FALSE)</f>
        <v>Nokia</v>
      </c>
    </row>
    <row r="227" spans="1:4" x14ac:dyDescent="0.3">
      <c r="A227" t="str">
        <f>VLOOKUP(Sheet1!A227,Sheet1!$A$1:$I$252,1,FALSE)</f>
        <v>A226</v>
      </c>
      <c r="B227" t="str">
        <f>IF(VLOOKUP(vlookup!A227,Sheet1!A226:F477,6,FALSE)="Paid","Eligible","Not Eligible")</f>
        <v>Not Eligible</v>
      </c>
      <c r="C227">
        <f>VLOOKUP(vlookup!A227,Sheet1!$A$1:$I$252,9,FALSE)</f>
        <v>9981200225</v>
      </c>
      <c r="D227" t="str">
        <f>VLOOKUP(A227,Sheet1!$A$1:$I$252,8,FALSE)</f>
        <v>Nokia</v>
      </c>
    </row>
    <row r="228" spans="1:4" x14ac:dyDescent="0.3">
      <c r="A228" t="str">
        <f>VLOOKUP(Sheet1!A228,Sheet1!$A$1:$I$252,1,FALSE)</f>
        <v>A227</v>
      </c>
      <c r="B228" t="str">
        <f>IF(VLOOKUP(vlookup!A228,Sheet1!A227:F478,6,FALSE)="Paid","Eligible","Not Eligible")</f>
        <v>Not Eligible</v>
      </c>
      <c r="C228">
        <f>VLOOKUP(vlookup!A228,Sheet1!$A$1:$I$252,9,FALSE)</f>
        <v>9981200226</v>
      </c>
      <c r="D228" t="str">
        <f>VLOOKUP(A228,Sheet1!$A$1:$I$252,8,FALSE)</f>
        <v>Nokia</v>
      </c>
    </row>
    <row r="229" spans="1:4" x14ac:dyDescent="0.3">
      <c r="A229" t="str">
        <f>VLOOKUP(Sheet1!A229,Sheet1!$A$1:$I$252,1,FALSE)</f>
        <v>A228</v>
      </c>
      <c r="B229" t="str">
        <f>IF(VLOOKUP(vlookup!A229,Sheet1!A228:F479,6,FALSE)="Paid","Eligible","Not Eligible")</f>
        <v>Not Eligible</v>
      </c>
      <c r="C229">
        <f>VLOOKUP(vlookup!A229,Sheet1!$A$1:$I$252,9,FALSE)</f>
        <v>9981200227</v>
      </c>
      <c r="D229" t="str">
        <f>VLOOKUP(A229,Sheet1!$A$1:$I$252,8,FALSE)</f>
        <v>Nokia</v>
      </c>
    </row>
    <row r="230" spans="1:4" x14ac:dyDescent="0.3">
      <c r="A230" t="str">
        <f>VLOOKUP(Sheet1!A230,Sheet1!$A$1:$I$252,1,FALSE)</f>
        <v>A229</v>
      </c>
      <c r="B230" t="str">
        <f>IF(VLOOKUP(vlookup!A230,Sheet1!A229:F480,6,FALSE)="Paid","Eligible","Not Eligible")</f>
        <v>Eligible</v>
      </c>
      <c r="C230">
        <f>VLOOKUP(vlookup!A230,Sheet1!$A$1:$I$252,9,FALSE)</f>
        <v>9981200228</v>
      </c>
      <c r="D230" t="str">
        <f>VLOOKUP(A230,Sheet1!$A$1:$I$252,8,FALSE)</f>
        <v>Nokia</v>
      </c>
    </row>
    <row r="231" spans="1:4" x14ac:dyDescent="0.3">
      <c r="A231" t="str">
        <f>VLOOKUP(Sheet1!A231,Sheet1!$A$1:$I$252,1,FALSE)</f>
        <v>A230</v>
      </c>
      <c r="B231" t="str">
        <f>IF(VLOOKUP(vlookup!A231,Sheet1!A230:F481,6,FALSE)="Paid","Eligible","Not Eligible")</f>
        <v>Eligible</v>
      </c>
      <c r="C231">
        <f>VLOOKUP(vlookup!A231,Sheet1!$A$1:$I$252,9,FALSE)</f>
        <v>9981200229</v>
      </c>
      <c r="D231" t="str">
        <f>VLOOKUP(A231,Sheet1!$A$1:$I$252,8,FALSE)</f>
        <v>Volcano</v>
      </c>
    </row>
    <row r="232" spans="1:4" x14ac:dyDescent="0.3">
      <c r="A232" t="str">
        <f>VLOOKUP(Sheet1!A232,Sheet1!$A$1:$I$252,1,FALSE)</f>
        <v>A231</v>
      </c>
      <c r="B232" t="str">
        <f>IF(VLOOKUP(vlookup!A232,Sheet1!A231:F482,6,FALSE)="Paid","Eligible","Not Eligible")</f>
        <v>Not Eligible</v>
      </c>
      <c r="C232">
        <f>VLOOKUP(vlookup!A232,Sheet1!$A$1:$I$252,9,FALSE)</f>
        <v>9981200230</v>
      </c>
      <c r="D232" t="str">
        <f>VLOOKUP(A232,Sheet1!$A$1:$I$252,8,FALSE)</f>
        <v>Nokia</v>
      </c>
    </row>
    <row r="233" spans="1:4" x14ac:dyDescent="0.3">
      <c r="A233" t="str">
        <f>VLOOKUP(Sheet1!A233,Sheet1!$A$1:$I$252,1,FALSE)</f>
        <v>A232</v>
      </c>
      <c r="B233" t="str">
        <f>IF(VLOOKUP(vlookup!A233,Sheet1!A232:F483,6,FALSE)="Paid","Eligible","Not Eligible")</f>
        <v>Not Eligible</v>
      </c>
      <c r="C233">
        <f>VLOOKUP(vlookup!A233,Sheet1!$A$1:$I$252,9,FALSE)</f>
        <v>9981200231</v>
      </c>
      <c r="D233" t="str">
        <f>VLOOKUP(A233,Sheet1!$A$1:$I$252,8,FALSE)</f>
        <v>Volcano</v>
      </c>
    </row>
    <row r="234" spans="1:4" x14ac:dyDescent="0.3">
      <c r="A234" t="str">
        <f>VLOOKUP(Sheet1!A234,Sheet1!$A$1:$I$252,1,FALSE)</f>
        <v>A233</v>
      </c>
      <c r="B234" t="str">
        <f>IF(VLOOKUP(vlookup!A234,Sheet1!A233:F484,6,FALSE)="Paid","Eligible","Not Eligible")</f>
        <v>Not Eligible</v>
      </c>
      <c r="C234">
        <f>VLOOKUP(vlookup!A234,Sheet1!$A$1:$I$252,9,FALSE)</f>
        <v>9981200232</v>
      </c>
      <c r="D234" t="str">
        <f>VLOOKUP(A234,Sheet1!$A$1:$I$252,8,FALSE)</f>
        <v>Volcano</v>
      </c>
    </row>
    <row r="235" spans="1:4" x14ac:dyDescent="0.3">
      <c r="A235" t="str">
        <f>VLOOKUP(Sheet1!A235,Sheet1!$A$1:$I$252,1,FALSE)</f>
        <v>A234</v>
      </c>
      <c r="B235" t="str">
        <f>IF(VLOOKUP(vlookup!A235,Sheet1!A234:F485,6,FALSE)="Paid","Eligible","Not Eligible")</f>
        <v>Eligible</v>
      </c>
      <c r="C235">
        <f>VLOOKUP(vlookup!A235,Sheet1!$A$1:$I$252,9,FALSE)</f>
        <v>9981200233</v>
      </c>
      <c r="D235" t="str">
        <f>VLOOKUP(A235,Sheet1!$A$1:$I$252,8,FALSE)</f>
        <v>Volcano</v>
      </c>
    </row>
    <row r="236" spans="1:4" x14ac:dyDescent="0.3">
      <c r="A236" t="str">
        <f>VLOOKUP(Sheet1!A236,Sheet1!$A$1:$I$252,1,FALSE)</f>
        <v>A235</v>
      </c>
      <c r="B236" t="str">
        <f>IF(VLOOKUP(vlookup!A236,Sheet1!A235:F486,6,FALSE)="Paid","Eligible","Not Eligible")</f>
        <v>Eligible</v>
      </c>
      <c r="C236">
        <f>VLOOKUP(vlookup!A236,Sheet1!$A$1:$I$252,9,FALSE)</f>
        <v>9981200234</v>
      </c>
      <c r="D236" t="str">
        <f>VLOOKUP(A236,Sheet1!$A$1:$I$252,8,FALSE)</f>
        <v>Nokia</v>
      </c>
    </row>
    <row r="237" spans="1:4" x14ac:dyDescent="0.3">
      <c r="A237" t="str">
        <f>VLOOKUP(Sheet1!A237,Sheet1!$A$1:$I$252,1,FALSE)</f>
        <v>A236</v>
      </c>
      <c r="B237" t="str">
        <f>IF(VLOOKUP(vlookup!A237,Sheet1!A236:F487,6,FALSE)="Paid","Eligible","Not Eligible")</f>
        <v>Not Eligible</v>
      </c>
      <c r="C237">
        <f>VLOOKUP(vlookup!A237,Sheet1!$A$1:$I$252,9,FALSE)</f>
        <v>9981200235</v>
      </c>
      <c r="D237" t="str">
        <f>VLOOKUP(A237,Sheet1!$A$1:$I$252,8,FALSE)</f>
        <v>Volcano</v>
      </c>
    </row>
    <row r="238" spans="1:4" x14ac:dyDescent="0.3">
      <c r="A238" t="str">
        <f>VLOOKUP(Sheet1!A238,Sheet1!$A$1:$I$252,1,FALSE)</f>
        <v>A237</v>
      </c>
      <c r="B238" t="str">
        <f>IF(VLOOKUP(vlookup!A238,Sheet1!A237:F488,6,FALSE)="Paid","Eligible","Not Eligible")</f>
        <v>Not Eligible</v>
      </c>
      <c r="C238">
        <f>VLOOKUP(vlookup!A238,Sheet1!$A$1:$I$252,9,FALSE)</f>
        <v>9981200236</v>
      </c>
      <c r="D238" t="str">
        <f>VLOOKUP(A238,Sheet1!$A$1:$I$252,8,FALSE)</f>
        <v>Volcano</v>
      </c>
    </row>
    <row r="239" spans="1:4" x14ac:dyDescent="0.3">
      <c r="A239" t="str">
        <f>VLOOKUP(Sheet1!A239,Sheet1!$A$1:$I$252,1,FALSE)</f>
        <v>A238</v>
      </c>
      <c r="B239" t="str">
        <f>IF(VLOOKUP(vlookup!A239,Sheet1!A238:F489,6,FALSE)="Paid","Eligible","Not Eligible")</f>
        <v>Eligible</v>
      </c>
      <c r="C239">
        <f>VLOOKUP(vlookup!A239,Sheet1!$A$1:$I$252,9,FALSE)</f>
        <v>9981200237</v>
      </c>
      <c r="D239" t="str">
        <f>VLOOKUP(A239,Sheet1!$A$1:$I$252,8,FALSE)</f>
        <v>Volcano</v>
      </c>
    </row>
    <row r="240" spans="1:4" x14ac:dyDescent="0.3">
      <c r="A240" t="str">
        <f>VLOOKUP(Sheet1!A240,Sheet1!$A$1:$I$252,1,FALSE)</f>
        <v>A239</v>
      </c>
      <c r="B240" t="str">
        <f>IF(VLOOKUP(vlookup!A240,Sheet1!A239:F490,6,FALSE)="Paid","Eligible","Not Eligible")</f>
        <v>Eligible</v>
      </c>
      <c r="C240">
        <f>VLOOKUP(vlookup!A240,Sheet1!$A$1:$I$252,9,FALSE)</f>
        <v>9981200238</v>
      </c>
      <c r="D240" t="str">
        <f>VLOOKUP(A240,Sheet1!$A$1:$I$252,8,FALSE)</f>
        <v>Nokia</v>
      </c>
    </row>
    <row r="241" spans="1:4" x14ac:dyDescent="0.3">
      <c r="A241" t="str">
        <f>VLOOKUP(Sheet1!A241,Sheet1!$A$1:$I$252,1,FALSE)</f>
        <v>A240</v>
      </c>
      <c r="B241" t="str">
        <f>IF(VLOOKUP(vlookup!A241,Sheet1!A240:F491,6,FALSE)="Paid","Eligible","Not Eligible")</f>
        <v>Not Eligible</v>
      </c>
      <c r="C241">
        <f>VLOOKUP(vlookup!A241,Sheet1!$A$1:$I$252,9,FALSE)</f>
        <v>9981200239</v>
      </c>
      <c r="D241" t="str">
        <f>VLOOKUP(A241,Sheet1!$A$1:$I$252,8,FALSE)</f>
        <v>Nokia</v>
      </c>
    </row>
    <row r="242" spans="1:4" x14ac:dyDescent="0.3">
      <c r="A242" t="str">
        <f>VLOOKUP(Sheet1!A242,Sheet1!$A$1:$I$252,1,FALSE)</f>
        <v>A241</v>
      </c>
      <c r="B242" t="str">
        <f>IF(VLOOKUP(vlookup!A242,Sheet1!A241:F492,6,FALSE)="Paid","Eligible","Not Eligible")</f>
        <v>Eligible</v>
      </c>
      <c r="C242">
        <f>VLOOKUP(vlookup!A242,Sheet1!$A$1:$I$252,9,FALSE)</f>
        <v>9981200240</v>
      </c>
      <c r="D242" t="str">
        <f>VLOOKUP(A242,Sheet1!$A$1:$I$252,8,FALSE)</f>
        <v>Nokia</v>
      </c>
    </row>
    <row r="243" spans="1:4" x14ac:dyDescent="0.3">
      <c r="A243" t="str">
        <f>VLOOKUP(Sheet1!A243,Sheet1!$A$1:$I$252,1,FALSE)</f>
        <v>A242</v>
      </c>
      <c r="B243" t="str">
        <f>IF(VLOOKUP(vlookup!A243,Sheet1!A242:F493,6,FALSE)="Paid","Eligible","Not Eligible")</f>
        <v>Eligible</v>
      </c>
      <c r="C243">
        <f>VLOOKUP(vlookup!A243,Sheet1!$A$1:$I$252,9,FALSE)</f>
        <v>9981200241</v>
      </c>
      <c r="D243" t="str">
        <f>VLOOKUP(A243,Sheet1!$A$1:$I$252,8,FALSE)</f>
        <v>Nokia</v>
      </c>
    </row>
    <row r="244" spans="1:4" x14ac:dyDescent="0.3">
      <c r="A244" t="str">
        <f>VLOOKUP(Sheet1!A244,Sheet1!$A$1:$I$252,1,FALSE)</f>
        <v>A243</v>
      </c>
      <c r="B244" t="str">
        <f>IF(VLOOKUP(vlookup!A244,Sheet1!A243:F494,6,FALSE)="Paid","Eligible","Not Eligible")</f>
        <v>Not Eligible</v>
      </c>
      <c r="C244">
        <f>VLOOKUP(vlookup!A244,Sheet1!$A$1:$I$252,9,FALSE)</f>
        <v>9981200242</v>
      </c>
      <c r="D244" t="str">
        <f>VLOOKUP(A244,Sheet1!$A$1:$I$252,8,FALSE)</f>
        <v>Nokia</v>
      </c>
    </row>
    <row r="245" spans="1:4" x14ac:dyDescent="0.3">
      <c r="A245" t="str">
        <f>VLOOKUP(Sheet1!A245,Sheet1!$A$1:$I$252,1,FALSE)</f>
        <v>A244</v>
      </c>
      <c r="B245" t="str">
        <f>IF(VLOOKUP(vlookup!A245,Sheet1!A244:F495,6,FALSE)="Paid","Eligible","Not Eligible")</f>
        <v>Eligible</v>
      </c>
      <c r="C245">
        <f>VLOOKUP(vlookup!A245,Sheet1!$A$1:$I$252,9,FALSE)</f>
        <v>9981200243</v>
      </c>
      <c r="D245" t="str">
        <f>VLOOKUP(A245,Sheet1!$A$1:$I$252,8,FALSE)</f>
        <v>Nokia</v>
      </c>
    </row>
    <row r="246" spans="1:4" x14ac:dyDescent="0.3">
      <c r="A246" t="str">
        <f>VLOOKUP(Sheet1!A246,Sheet1!$A$1:$I$252,1,FALSE)</f>
        <v>A245</v>
      </c>
      <c r="B246" t="str">
        <f>IF(VLOOKUP(vlookup!A246,Sheet1!A245:F496,6,FALSE)="Paid","Eligible","Not Eligible")</f>
        <v>Eligible</v>
      </c>
      <c r="C246">
        <f>VLOOKUP(vlookup!A246,Sheet1!$A$1:$I$252,9,FALSE)</f>
        <v>9981200244</v>
      </c>
      <c r="D246" t="str">
        <f>VLOOKUP(A246,Sheet1!$A$1:$I$252,8,FALSE)</f>
        <v>Nokia</v>
      </c>
    </row>
    <row r="247" spans="1:4" x14ac:dyDescent="0.3">
      <c r="A247" t="str">
        <f>VLOOKUP(Sheet1!A247,Sheet1!$A$1:$I$252,1,FALSE)</f>
        <v>A246</v>
      </c>
      <c r="B247" t="str">
        <f>IF(VLOOKUP(vlookup!A247,Sheet1!A246:F497,6,FALSE)="Paid","Eligible","Not Eligible")</f>
        <v>Eligible</v>
      </c>
      <c r="C247">
        <f>VLOOKUP(vlookup!A247,Sheet1!$A$1:$I$252,9,FALSE)</f>
        <v>9981200245</v>
      </c>
      <c r="D247" t="str">
        <f>VLOOKUP(A247,Sheet1!$A$1:$I$252,8,FALSE)</f>
        <v>Nokia</v>
      </c>
    </row>
    <row r="248" spans="1:4" x14ac:dyDescent="0.3">
      <c r="A248" t="str">
        <f>VLOOKUP(Sheet1!A248,Sheet1!$A$1:$I$252,1,FALSE)</f>
        <v>A247</v>
      </c>
      <c r="B248" t="str">
        <f>IF(VLOOKUP(vlookup!A248,Sheet1!A247:F498,6,FALSE)="Paid","Eligible","Not Eligible")</f>
        <v>Eligible</v>
      </c>
      <c r="C248">
        <f>VLOOKUP(vlookup!A248,Sheet1!$A$1:$I$252,9,FALSE)</f>
        <v>9981200246</v>
      </c>
      <c r="D248" t="str">
        <f>VLOOKUP(A248,Sheet1!$A$1:$I$252,8,FALSE)</f>
        <v>Nokia</v>
      </c>
    </row>
    <row r="249" spans="1:4" x14ac:dyDescent="0.3">
      <c r="A249" t="str">
        <f>VLOOKUP(Sheet1!A249,Sheet1!$A$1:$I$252,1,FALSE)</f>
        <v>A248</v>
      </c>
      <c r="B249" t="str">
        <f>IF(VLOOKUP(vlookup!A249,Sheet1!A248:F499,6,FALSE)="Paid","Eligible","Not Eligible")</f>
        <v>Eligible</v>
      </c>
      <c r="C249">
        <f>VLOOKUP(vlookup!A249,Sheet1!$A$1:$I$252,9,FALSE)</f>
        <v>9981200247</v>
      </c>
      <c r="D249" t="str">
        <f>VLOOKUP(A249,Sheet1!$A$1:$I$252,8,FALSE)</f>
        <v>Nokia</v>
      </c>
    </row>
    <row r="250" spans="1:4" x14ac:dyDescent="0.3">
      <c r="A250" t="str">
        <f>VLOOKUP(Sheet1!A250,Sheet1!$A$1:$I$252,1,FALSE)</f>
        <v>A249</v>
      </c>
      <c r="B250" t="str">
        <f>IF(VLOOKUP(vlookup!A250,Sheet1!A249:F500,6,FALSE)="Paid","Eligible","Not Eligible")</f>
        <v>Not Eligible</v>
      </c>
      <c r="C250">
        <f>VLOOKUP(vlookup!A250,Sheet1!$A$1:$I$252,9,FALSE)</f>
        <v>9981200248</v>
      </c>
      <c r="D250" t="str">
        <f>VLOOKUP(A250,Sheet1!$A$1:$I$252,8,FALSE)</f>
        <v>Nokia</v>
      </c>
    </row>
    <row r="251" spans="1:4" x14ac:dyDescent="0.3">
      <c r="A251" t="str">
        <f>VLOOKUP(Sheet1!A251,Sheet1!$A$1:$I$252,1,FALSE)</f>
        <v>A250</v>
      </c>
      <c r="B251" t="str">
        <f>IF(VLOOKUP(vlookup!A251,Sheet1!A250:F501,6,FALSE)="Paid","Eligible","Not Eligible")</f>
        <v>Not Eligible</v>
      </c>
      <c r="C251">
        <f>VLOOKUP(vlookup!A251,Sheet1!$A$1:$I$252,9,FALSE)</f>
        <v>9981200249</v>
      </c>
      <c r="D251" t="str">
        <f>VLOOKUP(A251,Sheet1!$A$1:$I$252,8,FALSE)</f>
        <v>Volcano</v>
      </c>
    </row>
    <row r="252" spans="1:4" x14ac:dyDescent="0.3">
      <c r="A252" t="str">
        <f>VLOOKUP(Sheet1!A252,Sheet1!$A$1:$I$252,1,FALSE)</f>
        <v>A251</v>
      </c>
      <c r="B252" t="str">
        <f>IF(VLOOKUP(vlookup!A252,Sheet1!A251:F502,6,FALSE)="Paid","Eligible","Not Eligible")</f>
        <v>Not Eligible</v>
      </c>
      <c r="C252">
        <f>VLOOKUP(vlookup!A252,Sheet1!$A$1:$I$252,9,FALSE)</f>
        <v>9981200250</v>
      </c>
      <c r="D252" t="str">
        <f>VLOOKUP(A252,Sheet1!$A$1:$I$252,8,FALSE)</f>
        <v>Nokia</v>
      </c>
    </row>
  </sheetData>
  <conditionalFormatting sqref="D2:D25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{4EE07C87-2909-47E9-8B84-6A3EC2AD7830}</x14:id>
        </ext>
      </extLst>
    </cfRule>
    <cfRule type="containsText" priority="1" operator="containsText" text="Nokia">
      <formula>NOT(ISERROR(SEARCH("Nokia",D2)))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07C87-2909-47E9-8B84-6A3EC2AD78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2026-01-16T14:25:13Z</dcterms:modified>
</cp:coreProperties>
</file>