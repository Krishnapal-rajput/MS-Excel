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54AD1F2B-C134-4AF1-AA89-FA99CA8106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<sst xmlns="http://schemas.openxmlformats.org/spreadsheetml/2006/main" count="87" uniqueCount="43">
  <si>
    <t>State</t>
  </si>
  <si>
    <t>District</t>
  </si>
  <si>
    <t>Market</t>
  </si>
  <si>
    <t>Commodity</t>
  </si>
  <si>
    <t>Variety</t>
  </si>
  <si>
    <t>Grade</t>
  </si>
  <si>
    <t>Arrival Date</t>
  </si>
  <si>
    <t>Min X0020 Price</t>
  </si>
  <si>
    <t>Max X0020 Price</t>
  </si>
  <si>
    <t>Modal X0020 Price</t>
  </si>
  <si>
    <t>Punjab</t>
  </si>
  <si>
    <t>Mohali</t>
  </si>
  <si>
    <t>Kharar APMC</t>
  </si>
  <si>
    <t>Onion</t>
  </si>
  <si>
    <t>Other</t>
  </si>
  <si>
    <t>Non-FAQ</t>
  </si>
  <si>
    <t>Potato</t>
  </si>
  <si>
    <t>Tomato</t>
  </si>
  <si>
    <t>Green Chilli</t>
  </si>
  <si>
    <t>Green Chilly</t>
  </si>
  <si>
    <t>Local</t>
  </si>
  <si>
    <t>Kinnow</t>
  </si>
  <si>
    <t>Rajasthan</t>
  </si>
  <si>
    <t>Beawar</t>
  </si>
  <si>
    <t>Bijaynagar APMC</t>
  </si>
  <si>
    <t>Kota</t>
  </si>
  <si>
    <t>Manohararthana APMC</t>
  </si>
  <si>
    <t>Wheat</t>
  </si>
  <si>
    <t>Assam</t>
  </si>
  <si>
    <t>Sibsagar</t>
  </si>
  <si>
    <t>Sonari APMC</t>
  </si>
  <si>
    <t>Cauliflower</t>
  </si>
  <si>
    <t>FAQ</t>
  </si>
  <si>
    <t>Indian Beans(Seam)</t>
  </si>
  <si>
    <t>Indian Beans (Seam)</t>
  </si>
  <si>
    <t>Cabbage</t>
  </si>
  <si>
    <t>Current Daily Price of Various Commodities from Various Markets (Mandi)</t>
  </si>
  <si>
    <t>commodity</t>
  </si>
  <si>
    <t>price</t>
  </si>
  <si>
    <t>grade</t>
  </si>
  <si>
    <t>min price</t>
  </si>
  <si>
    <t>max price</t>
  </si>
  <si>
    <t>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</si>
</sst>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212529"/>
      <name val="Arial"/>
      <family val="2"/>
    </font>
    <font>
      <sz val="11"/>
      <color rgb="FF212529"/>
      <name val="Arial"/>
      <family val="2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D3" sqref="D3:D12"/>
    </sheetView>
  </sheetViews>
  <sheetFormatPr defaultRowHeight="14.4" x14ac:dyDescent="0.3"/>
  <cols>
    <col min="1" max="1" width="10.21875" customWidth="1"/>
    <col min="3" max="3" width="13.33203125" customWidth="1"/>
    <col min="4" max="4" width="13.21875" bestFit="1" customWidth="1"/>
    <col min="5" max="5" width="12.44140625" customWidth="1"/>
    <col min="6" max="6" width="11.77734375" customWidth="1"/>
    <col min="7" max="7" width="12.44140625" bestFit="1" customWidth="1"/>
    <col min="8" max="10" width="6.77734375" bestFit="1" customWidth="1"/>
  </cols>
  <sheetData>
    <row r="1" spans="1:11" ht="18" customHeight="1" x14ac:dyDescent="0.3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1"/>
    </row>
    <row r="2" spans="1:11" ht="41.4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1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>
        <v>46037</v>
      </c>
      <c r="H3" s="4">
        <v>2200</v>
      </c>
      <c r="I3" s="4">
        <v>2600</v>
      </c>
      <c r="J3" s="4">
        <v>2400</v>
      </c>
    </row>
    <row r="4" spans="1:11" x14ac:dyDescent="0.3">
      <c r="A4" s="4" t="s">
        <v>10</v>
      </c>
      <c r="B4" s="4" t="s">
        <v>11</v>
      </c>
      <c r="C4" s="4" t="s">
        <v>12</v>
      </c>
      <c r="D4" s="4" t="s">
        <v>16</v>
      </c>
      <c r="E4" s="4" t="s">
        <v>16</v>
      </c>
      <c r="F4" s="4" t="s">
        <v>15</v>
      </c>
      <c r="G4" s="5">
        <v>46037</v>
      </c>
      <c r="H4" s="4">
        <v>450</v>
      </c>
      <c r="I4" s="4">
        <v>600</v>
      </c>
      <c r="J4" s="4">
        <v>500</v>
      </c>
    </row>
    <row r="5" spans="1:11" x14ac:dyDescent="0.3">
      <c r="A5" s="4" t="s">
        <v>10</v>
      </c>
      <c r="B5" s="4" t="s">
        <v>11</v>
      </c>
      <c r="C5" s="4" t="s">
        <v>12</v>
      </c>
      <c r="D5" s="4" t="s">
        <v>17</v>
      </c>
      <c r="E5" s="4" t="s">
        <v>17</v>
      </c>
      <c r="F5" s="4" t="s">
        <v>15</v>
      </c>
      <c r="G5" s="5">
        <v>46037</v>
      </c>
      <c r="H5" s="4">
        <v>2700</v>
      </c>
      <c r="I5" s="4">
        <v>3200</v>
      </c>
      <c r="J5" s="4">
        <v>3000</v>
      </c>
    </row>
    <row r="6" spans="1:11" x14ac:dyDescent="0.3">
      <c r="A6" s="4" t="s">
        <v>10</v>
      </c>
      <c r="B6" s="4" t="s">
        <v>11</v>
      </c>
      <c r="C6" s="4" t="s">
        <v>12</v>
      </c>
      <c r="D6" s="4" t="s">
        <v>18</v>
      </c>
      <c r="E6" s="4" t="s">
        <v>19</v>
      </c>
      <c r="F6" s="4" t="s">
        <v>20</v>
      </c>
      <c r="G6" s="5">
        <v>46037</v>
      </c>
      <c r="H6" s="4">
        <v>5500</v>
      </c>
      <c r="I6" s="4">
        <v>6500</v>
      </c>
      <c r="J6" s="4">
        <v>6000</v>
      </c>
    </row>
    <row r="7" spans="1:11" x14ac:dyDescent="0.3">
      <c r="A7" s="4" t="s">
        <v>10</v>
      </c>
      <c r="B7" s="4" t="s">
        <v>11</v>
      </c>
      <c r="C7" s="4" t="s">
        <v>12</v>
      </c>
      <c r="D7" s="4" t="s">
        <v>21</v>
      </c>
      <c r="E7" s="4" t="s">
        <v>21</v>
      </c>
      <c r="F7" s="4" t="s">
        <v>20</v>
      </c>
      <c r="G7" s="5">
        <v>46037</v>
      </c>
      <c r="H7" s="4">
        <v>2000</v>
      </c>
      <c r="I7" s="4">
        <v>2500</v>
      </c>
      <c r="J7" s="4">
        <v>2200</v>
      </c>
    </row>
    <row r="8" spans="1:11" ht="27.6" x14ac:dyDescent="0.3">
      <c r="A8" s="4" t="s">
        <v>22</v>
      </c>
      <c r="B8" s="4" t="s">
        <v>23</v>
      </c>
      <c r="C8" s="4" t="s">
        <v>24</v>
      </c>
      <c r="D8" s="4" t="s">
        <v>17</v>
      </c>
      <c r="E8" s="4" t="s">
        <v>14</v>
      </c>
      <c r="F8" s="4" t="s">
        <v>20</v>
      </c>
      <c r="G8" s="5">
        <v>46037</v>
      </c>
      <c r="H8" s="4">
        <v>1500</v>
      </c>
      <c r="I8" s="4">
        <v>2500</v>
      </c>
      <c r="J8" s="4">
        <v>2000</v>
      </c>
    </row>
    <row r="9" spans="1:11" ht="27.6" x14ac:dyDescent="0.3">
      <c r="A9" s="4" t="s">
        <v>22</v>
      </c>
      <c r="B9" s="4" t="s">
        <v>25</v>
      </c>
      <c r="C9" s="4" t="s">
        <v>26</v>
      </c>
      <c r="D9" s="4" t="s">
        <v>27</v>
      </c>
      <c r="E9" s="4" t="s">
        <v>27</v>
      </c>
      <c r="F9" s="4" t="s">
        <v>15</v>
      </c>
      <c r="G9" s="5">
        <v>46037</v>
      </c>
      <c r="H9" s="4">
        <v>2500</v>
      </c>
      <c r="I9" s="4">
        <v>2626</v>
      </c>
      <c r="J9" s="4">
        <v>2563</v>
      </c>
    </row>
    <row r="10" spans="1:11" x14ac:dyDescent="0.3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31</v>
      </c>
      <c r="F10" s="4" t="s">
        <v>32</v>
      </c>
      <c r="G10" s="5">
        <v>46037</v>
      </c>
      <c r="H10" s="4">
        <v>2900</v>
      </c>
      <c r="I10" s="4">
        <v>3100</v>
      </c>
      <c r="J10" s="4">
        <v>3000</v>
      </c>
    </row>
    <row r="11" spans="1:11" ht="41.4" x14ac:dyDescent="0.3">
      <c r="A11" s="4" t="s">
        <v>28</v>
      </c>
      <c r="B11" s="4" t="s">
        <v>29</v>
      </c>
      <c r="C11" s="4" t="s">
        <v>30</v>
      </c>
      <c r="D11" s="4" t="s">
        <v>33</v>
      </c>
      <c r="E11" s="4" t="s">
        <v>34</v>
      </c>
      <c r="F11" s="4" t="s">
        <v>32</v>
      </c>
      <c r="G11" s="5">
        <v>46037</v>
      </c>
      <c r="H11" s="4">
        <v>2600</v>
      </c>
      <c r="I11" s="4">
        <v>2800</v>
      </c>
      <c r="J11" s="4">
        <v>2700</v>
      </c>
    </row>
    <row r="12" spans="1:11" x14ac:dyDescent="0.3">
      <c r="A12" s="4" t="s">
        <v>28</v>
      </c>
      <c r="B12" s="4" t="s">
        <v>29</v>
      </c>
      <c r="C12" s="4" t="s">
        <v>30</v>
      </c>
      <c r="D12" s="4" t="s">
        <v>35</v>
      </c>
      <c r="E12" s="4" t="s">
        <v>35</v>
      </c>
      <c r="F12" s="4" t="s">
        <v>32</v>
      </c>
      <c r="G12" s="5">
        <v>46037</v>
      </c>
      <c r="H12" s="4">
        <v>1600</v>
      </c>
      <c r="I12" s="4">
        <v>1800</v>
      </c>
      <c r="J12" s="4">
        <v>1700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EBE8-19D9-42BD-A98B-E76017FC1A7B}">
  <dimension ref="A1:F11"/>
  <sheetViews>
    <sheetView tabSelected="1" workbookViewId="0">
      <selection activeCell="F17" sqref="F17"/>
    </sheetView>
  </sheetViews>
  <sheetFormatPr defaultRowHeight="14.4" x14ac:dyDescent="0.3"/>
  <cols>
    <col min="1" max="1" width="15.5546875" bestFit="1" customWidth="1"/>
    <col min="2" max="2" width="7.44140625" bestFit="1" customWidth="1"/>
    <col min="3" max="3" width="12.88671875" bestFit="1" customWidth="1"/>
    <col min="4" max="4" width="13.44140625" bestFit="1" customWidth="1"/>
    <col min="5" max="5" width="8.44140625" bestFit="1" customWidth="1"/>
    <col min="6" max="6" width="17.5546875" bestFit="1" customWidth="1"/>
  </cols>
  <sheetData>
    <row r="1" spans="1:6" ht="21" x14ac:dyDescent="0.3">
      <c r="A1" s="6" t="s">
        <v>37</v>
      </c>
      <c r="B1" s="6" t="s">
        <v>38</v>
      </c>
      <c r="C1" s="6" t="s">
        <v>40</v>
      </c>
      <c r="D1" s="6" t="s">
        <v>41</v>
      </c>
      <c r="E1" s="6" t="s">
        <v>39</v>
      </c>
      <c r="F1" s="6" t="s">
        <v>42</v>
      </c>
    </row>
    <row r="2" spans="1:6" x14ac:dyDescent="0.3">
      <c r="A2" s="4" t="s">
        <v>13</v>
      </c>
      <c r="B2" s="7">
        <f>VLOOKUP(A2,Sheet1!$D$2:$J$12,7,FALSE)</f>
        <v>2400</v>
      </c>
      <c r="C2" s="7">
        <f>VLOOKUP(A2,Sheet1!$D$2:$J$12,5,FALSE)</f>
        <v>2200</v>
      </c>
      <c r="D2" s="7">
        <f>VLOOKUP(A2,Sheet1!$D$2:$J$12,6,0)</f>
        <v>2600</v>
      </c>
      <c r="E2" s="7" t="str">
        <f>VLOOKUP(A2,Sheet1!$D$2:$J$12,3,FALSE)</f>
        <v>Non-FAQ</v>
      </c>
      <c r="F2" s="7" t="str">
        <f>VLOOKUP(A2,Sheet1!$D$2:$J$12,2,FALSE)</f>
        <v>Other</v>
      </c>
    </row>
    <row r="3" spans="1:6" x14ac:dyDescent="0.3">
      <c r="A3" s="4" t="s">
        <v>16</v>
      </c>
      <c r="B3" s="7">
        <f>VLOOKUP(A3,Sheet1!$D$2:$J$12,7,FALSE)</f>
        <v>500</v>
      </c>
      <c r="C3" s="7">
        <f>VLOOKUP(A3,Sheet1!$D$2:$J$12,5,FALSE)</f>
        <v>450</v>
      </c>
      <c r="D3" s="7">
        <f>VLOOKUP(A3,Sheet1!$D$2:$J$12,6,0)</f>
        <v>600</v>
      </c>
      <c r="E3" s="7" t="str">
        <f>VLOOKUP(A3,Sheet1!$D$2:$J$12,3,FALSE)</f>
        <v>Non-FAQ</v>
      </c>
      <c r="F3" s="7" t="str">
        <f>VLOOKUP(A3,Sheet1!$D$2:$J$12,2,FALSE)</f>
        <v>Potato</v>
      </c>
    </row>
    <row r="4" spans="1:6" x14ac:dyDescent="0.3">
      <c r="A4" s="4" t="s">
        <v>17</v>
      </c>
      <c r="B4" s="7">
        <f>VLOOKUP(A4,Sheet1!$D$2:$J$12,7,FALSE)</f>
        <v>3000</v>
      </c>
      <c r="C4" s="7">
        <f>VLOOKUP(A4,Sheet1!$D$2:$J$12,5,FALSE)</f>
        <v>2700</v>
      </c>
      <c r="D4" s="7">
        <f>VLOOKUP(A4,Sheet1!$D$2:$J$12,6,0)</f>
        <v>3200</v>
      </c>
      <c r="E4" s="7" t="str">
        <f>VLOOKUP(A4,Sheet1!$D$2:$J$12,3,FALSE)</f>
        <v>Non-FAQ</v>
      </c>
      <c r="F4" s="7" t="str">
        <f>VLOOKUP(A4,Sheet1!$D$2:$J$12,2,FALSE)</f>
        <v>Tomato</v>
      </c>
    </row>
    <row r="5" spans="1:6" ht="27.6" x14ac:dyDescent="0.3">
      <c r="A5" s="4" t="s">
        <v>18</v>
      </c>
      <c r="B5" s="7">
        <f>VLOOKUP(A5,Sheet1!$D$2:$J$12,7,FALSE)</f>
        <v>6000</v>
      </c>
      <c r="C5" s="7">
        <f>VLOOKUP(A5,Sheet1!$D$2:$J$12,5,FALSE)</f>
        <v>5500</v>
      </c>
      <c r="D5" s="7">
        <f>VLOOKUP(A5,Sheet1!$D$2:$J$12,6,0)</f>
        <v>6500</v>
      </c>
      <c r="E5" s="7" t="str">
        <f>VLOOKUP(A5,Sheet1!$D$2:$J$12,3,FALSE)</f>
        <v>Local</v>
      </c>
      <c r="F5" s="7" t="str">
        <f>VLOOKUP(A5,Sheet1!$D$2:$J$12,2,FALSE)</f>
        <v>Green Chilly</v>
      </c>
    </row>
    <row r="6" spans="1:6" x14ac:dyDescent="0.3">
      <c r="A6" s="4" t="s">
        <v>21</v>
      </c>
      <c r="B6" s="7">
        <f>VLOOKUP(A6,Sheet1!$D$2:$J$12,7,FALSE)</f>
        <v>2200</v>
      </c>
      <c r="C6" s="7">
        <f>VLOOKUP(A6,Sheet1!$D$2:$J$12,5,FALSE)</f>
        <v>2000</v>
      </c>
      <c r="D6" s="7">
        <f>VLOOKUP(A6,Sheet1!$D$2:$J$12,6,0)</f>
        <v>2500</v>
      </c>
      <c r="E6" s="7" t="str">
        <f>VLOOKUP(A6,Sheet1!$D$2:$J$12,3,FALSE)</f>
        <v>Local</v>
      </c>
      <c r="F6" s="7" t="str">
        <f>VLOOKUP(A6,Sheet1!$D$2:$J$12,2,FALSE)</f>
        <v>Kinnow</v>
      </c>
    </row>
    <row r="7" spans="1:6" x14ac:dyDescent="0.3">
      <c r="A7" s="4" t="s">
        <v>17</v>
      </c>
      <c r="B7" s="7">
        <f>VLOOKUP(A7,Sheet1!$D$2:$J$12,7,FALSE)</f>
        <v>3000</v>
      </c>
      <c r="C7" s="7">
        <f>VLOOKUP(A7,Sheet1!$D$2:$J$12,5,FALSE)</f>
        <v>2700</v>
      </c>
      <c r="D7" s="7">
        <f>VLOOKUP(A7,Sheet1!$D$2:$J$12,6,0)</f>
        <v>3200</v>
      </c>
      <c r="E7" s="7" t="str">
        <f>VLOOKUP(A7,Sheet1!$D$2:$J$12,3,FALSE)</f>
        <v>Non-FAQ</v>
      </c>
      <c r="F7" s="7" t="str">
        <f>VLOOKUP(A7,Sheet1!$D$2:$J$12,2,FALSE)</f>
        <v>Tomato</v>
      </c>
    </row>
    <row r="8" spans="1:6" x14ac:dyDescent="0.3">
      <c r="A8" s="4" t="s">
        <v>27</v>
      </c>
      <c r="B8" s="7">
        <f>VLOOKUP(A8,Sheet1!$D$2:$J$12,7,FALSE)</f>
        <v>2563</v>
      </c>
      <c r="C8" s="7">
        <f>VLOOKUP(A8,Sheet1!$D$2:$J$12,5,FALSE)</f>
        <v>2500</v>
      </c>
      <c r="D8" s="7">
        <f>VLOOKUP(A8,Sheet1!$D$2:$J$12,6,0)</f>
        <v>2626</v>
      </c>
      <c r="E8" s="7" t="str">
        <f>VLOOKUP(A8,Sheet1!$D$2:$J$12,3,FALSE)</f>
        <v>Non-FAQ</v>
      </c>
      <c r="F8" s="7" t="str">
        <f>VLOOKUP(A8,Sheet1!$D$2:$J$12,2,FALSE)</f>
        <v>Wheat</v>
      </c>
    </row>
    <row r="9" spans="1:6" ht="27.6" x14ac:dyDescent="0.3">
      <c r="A9" s="4" t="s">
        <v>31</v>
      </c>
      <c r="B9" s="7">
        <f>VLOOKUP(A9,Sheet1!$D$2:$J$12,7,FALSE)</f>
        <v>3000</v>
      </c>
      <c r="C9" s="7">
        <f>VLOOKUP(A9,Sheet1!$D$2:$J$12,5,FALSE)</f>
        <v>2900</v>
      </c>
      <c r="D9" s="7">
        <f>VLOOKUP(A9,Sheet1!$D$2:$J$12,6,0)</f>
        <v>3100</v>
      </c>
      <c r="E9" s="7" t="str">
        <f>VLOOKUP(A9,Sheet1!$D$2:$J$12,3,FALSE)</f>
        <v>FAQ</v>
      </c>
      <c r="F9" s="7" t="str">
        <f>VLOOKUP(A9,Sheet1!$D$2:$J$12,2,FALSE)</f>
        <v>Cauliflower</v>
      </c>
    </row>
    <row r="10" spans="1:6" ht="41.4" x14ac:dyDescent="0.3">
      <c r="A10" s="4" t="s">
        <v>33</v>
      </c>
      <c r="B10" s="7">
        <f>VLOOKUP(A10,Sheet1!$D$2:$J$12,7,FALSE)</f>
        <v>2700</v>
      </c>
      <c r="C10" s="7">
        <f>VLOOKUP(A10,Sheet1!$D$2:$J$12,5,FALSE)</f>
        <v>2600</v>
      </c>
      <c r="D10" s="7">
        <f>VLOOKUP(A10,Sheet1!$D$2:$J$12,6,0)</f>
        <v>2800</v>
      </c>
      <c r="E10" s="7" t="str">
        <f>VLOOKUP(A10,Sheet1!$D$2:$J$12,3,FALSE)</f>
        <v>FAQ</v>
      </c>
      <c r="F10" s="7" t="str">
        <f>VLOOKUP(A10,Sheet1!$D$2:$J$12,2,FALSE)</f>
        <v>Indian Beans (Seam)</v>
      </c>
    </row>
    <row r="11" spans="1:6" x14ac:dyDescent="0.3">
      <c r="A11" s="4" t="s">
        <v>35</v>
      </c>
      <c r="B11" s="7">
        <f>VLOOKUP(A11,Sheet1!$D$2:$J$12,7,FALSE)</f>
        <v>1700</v>
      </c>
      <c r="C11" s="7">
        <f>VLOOKUP(A11,Sheet1!$D$2:$J$12,5,FALSE)</f>
        <v>1600</v>
      </c>
      <c r="D11" s="7">
        <f>VLOOKUP(A11,Sheet1!$D$2:$J$12,6,0)</f>
        <v>1800</v>
      </c>
      <c r="E11" s="7" t="str">
        <f>VLOOKUP(A11,Sheet1!$D$2:$J$12,3,FALSE)</f>
        <v>FAQ</v>
      </c>
      <c r="F11" s="7" t="str">
        <f>VLOOKUP(A11,Sheet1!$D$2:$J$12,2,FALSE)</f>
        <v>Cabbage</v>
      </c>
    </row>
  </sheetData>
  <conditionalFormatting sqref="B2:B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2026-01-15T11:57:42Z</dcterms:modified>
</cp:coreProperties>
</file>